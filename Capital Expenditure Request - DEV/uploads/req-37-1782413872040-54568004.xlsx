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laPena\Downloads\"/>
    </mc:Choice>
  </mc:AlternateContent>
  <xr:revisionPtr revIDLastSave="0" documentId="13_ncr:1_{985C5569-0DEE-464E-9509-AFAB0B2EA423}" xr6:coauthVersionLast="36" xr6:coauthVersionMax="47" xr10:uidLastSave="{00000000-0000-0000-0000-000000000000}"/>
  <bookViews>
    <workbookView xWindow="0" yWindow="0" windowWidth="11520" windowHeight="5484" activeTab="4" xr2:uid="{26D4546B-D2A1-4444-8EAF-A6228F96F0C1}"/>
  </bookViews>
  <sheets>
    <sheet name="Calendar" sheetId="1" r:id="rId1"/>
    <sheet name="Any Month" sheetId="5" r:id="rId2"/>
    <sheet name="Printable 12 Month" sheetId="6" r:id="rId3"/>
    <sheet name="Planner" sheetId="3" r:id="rId4"/>
    <sheet name="Customizations" sheetId="4" r:id="rId5"/>
    <sheet name="Calc" sheetId="2" r:id="rId6"/>
  </sheets>
  <definedNames>
    <definedName name="_xlnm._FilterDatabase" localSheetId="4" hidden="1">Customizations!$J$4:$K$29</definedName>
    <definedName name="cal.year">Customizations!$C$4</definedName>
    <definedName name="holiday_dates">holidays[Date]</definedName>
    <definedName name="icon_types">icons[Type]</definedName>
    <definedName name="month.nums">Calc!$C$13:$C$84</definedName>
    <definedName name="monthly.calendar">Calc!$D$13:$J$84</definedName>
    <definedName name="months.list">_xlfn.ANCHORARRAY(Calc!$V$13)</definedName>
    <definedName name="planner_dates">Plan[Date]</definedName>
    <definedName name="_xlnm.Print_Area" localSheetId="1">'Any Month'!$B$1:$J$19</definedName>
    <definedName name="_xlnm.Print_Area" localSheetId="0">Calendar!$B$1:$AK$33</definedName>
    <definedName name="_xlnm.Print_Area" localSheetId="2">'Printable 12 Month'!$B$4:$J$195</definedName>
    <definedName name="show.planner">Customizations!$C$7</definedName>
    <definedName name="week.start">Customizations!$C$5</definedName>
    <definedName name="weekend.type">Customizations!$C$6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9" i="2" l="1"/>
  <c r="AA10" i="2"/>
  <c r="V13" i="2" a="1"/>
  <c r="V13" i="2" s="1"/>
  <c r="R37" i="2"/>
  <c r="AI30" i="1" s="1"/>
  <c r="S37" i="2"/>
  <c r="AJ30" i="1" s="1"/>
  <c r="R28" i="2"/>
  <c r="AI21" i="1" s="1"/>
  <c r="S28" i="2"/>
  <c r="AJ21" i="1" s="1"/>
  <c r="R29" i="2"/>
  <c r="AI22" i="1" s="1"/>
  <c r="S29" i="2"/>
  <c r="AJ22" i="1" s="1"/>
  <c r="R30" i="2"/>
  <c r="AI23" i="1" s="1"/>
  <c r="S30" i="2"/>
  <c r="AJ23" i="1" s="1"/>
  <c r="R31" i="2"/>
  <c r="AI24" i="1" s="1"/>
  <c r="S31" i="2"/>
  <c r="AJ24" i="1" s="1"/>
  <c r="R32" i="2"/>
  <c r="AI25" i="1" s="1"/>
  <c r="S32" i="2"/>
  <c r="AJ25" i="1" s="1"/>
  <c r="R33" i="2"/>
  <c r="AI26" i="1" s="1"/>
  <c r="S33" i="2"/>
  <c r="AJ26" i="1" s="1"/>
  <c r="R34" i="2"/>
  <c r="AI27" i="1" s="1"/>
  <c r="S34" i="2"/>
  <c r="AJ27" i="1" s="1"/>
  <c r="R35" i="2"/>
  <c r="AI28" i="1" s="1"/>
  <c r="S35" i="2"/>
  <c r="AJ28" i="1" s="1"/>
  <c r="R36" i="2"/>
  <c r="AI29" i="1" s="1"/>
  <c r="S36" i="2"/>
  <c r="AJ29" i="1" s="1"/>
  <c r="O8" i="2"/>
  <c r="N13" i="2" s="1" a="1"/>
  <c r="R26" i="2" s="1"/>
  <c r="AI19" i="1" s="1"/>
  <c r="C4" i="1"/>
  <c r="D13" i="2" a="1"/>
  <c r="D13" i="2" s="1"/>
  <c r="C19" i="2"/>
  <c r="C14" i="2"/>
  <c r="E8" i="2"/>
  <c r="H8" i="2" s="1"/>
  <c r="R27" i="2" l="1"/>
  <c r="AI20" i="1" s="1"/>
  <c r="AI45" i="2"/>
  <c r="C15" i="2"/>
  <c r="D19" i="2" a="1"/>
  <c r="D19" i="2" s="1"/>
  <c r="K19" i="2" s="1"/>
  <c r="C25" i="2"/>
  <c r="C20" i="2"/>
  <c r="C21" i="2" s="1"/>
  <c r="C22" i="2" s="1"/>
  <c r="C23" i="2" s="1"/>
  <c r="C24" i="2" s="1"/>
  <c r="C16" i="2"/>
  <c r="R25" i="2"/>
  <c r="AI18" i="1" s="1"/>
  <c r="R24" i="2"/>
  <c r="AI17" i="1" s="1"/>
  <c r="R23" i="2"/>
  <c r="AI16" i="1" s="1"/>
  <c r="R22" i="2"/>
  <c r="AI15" i="1" s="1"/>
  <c r="R21" i="2"/>
  <c r="AI14" i="1" s="1"/>
  <c r="N13" i="2"/>
  <c r="S13" i="2" s="1"/>
  <c r="AJ6" i="1" s="1"/>
  <c r="R20" i="2"/>
  <c r="AI13" i="1" s="1"/>
  <c r="R19" i="2"/>
  <c r="AI12" i="1" s="1"/>
  <c r="K13" i="2"/>
  <c r="R18" i="2"/>
  <c r="AI11" i="1" s="1"/>
  <c r="R14" i="2"/>
  <c r="AI7" i="1" s="1"/>
  <c r="R17" i="2"/>
  <c r="AI10" i="1" s="1"/>
  <c r="R16" i="2"/>
  <c r="AI9" i="1" s="1"/>
  <c r="R15" i="2"/>
  <c r="AI8" i="1" s="1"/>
  <c r="R13" i="2"/>
  <c r="AI6" i="1" s="1"/>
  <c r="H9" i="2"/>
  <c r="D12" i="2" s="1"/>
  <c r="AI61" i="2" l="1"/>
  <c r="C17" i="2"/>
  <c r="C18" i="2" s="1"/>
  <c r="D25" i="2" a="1"/>
  <c r="C31" i="2"/>
  <c r="C26" i="2"/>
  <c r="AI77" i="2" l="1"/>
  <c r="D25" i="2"/>
  <c r="C32" i="2"/>
  <c r="C33" i="2" s="1"/>
  <c r="C34" i="2" s="1"/>
  <c r="C35" i="2" s="1"/>
  <c r="C36" i="2" s="1"/>
  <c r="D31" i="2" a="1"/>
  <c r="C37" i="2"/>
  <c r="C27" i="2"/>
  <c r="AI93" i="2" l="1"/>
  <c r="K25" i="2"/>
  <c r="D31" i="2"/>
  <c r="C38" i="2"/>
  <c r="C39" i="2" s="1"/>
  <c r="C40" i="2" s="1"/>
  <c r="C41" i="2" s="1"/>
  <c r="C42" i="2" s="1"/>
  <c r="D37" i="2" a="1"/>
  <c r="C43" i="2"/>
  <c r="C28" i="2"/>
  <c r="AI109" i="2" l="1"/>
  <c r="K31" i="2"/>
  <c r="D37" i="2"/>
  <c r="C49" i="2"/>
  <c r="C44" i="2"/>
  <c r="C45" i="2" s="1"/>
  <c r="C46" i="2" s="1"/>
  <c r="C47" i="2" s="1"/>
  <c r="C48" i="2" s="1"/>
  <c r="D43" i="2" a="1"/>
  <c r="C29" i="2"/>
  <c r="AI125" i="2" l="1"/>
  <c r="K37" i="2"/>
  <c r="D49" i="2" a="1"/>
  <c r="C55" i="2"/>
  <c r="C50" i="2"/>
  <c r="D43" i="2"/>
  <c r="C30" i="2"/>
  <c r="AI141" i="2" l="1"/>
  <c r="D49" i="2"/>
  <c r="C61" i="2"/>
  <c r="D55" i="2" a="1"/>
  <c r="C56" i="2"/>
  <c r="C57" i="2" s="1"/>
  <c r="C58" i="2" s="1"/>
  <c r="C59" i="2" s="1"/>
  <c r="C60" i="2" s="1"/>
  <c r="C51" i="2"/>
  <c r="K43" i="2"/>
  <c r="AI157" i="2" l="1"/>
  <c r="K49" i="2"/>
  <c r="D61" i="2" a="1"/>
  <c r="C67" i="2"/>
  <c r="C62" i="2"/>
  <c r="C63" i="2" s="1"/>
  <c r="C64" i="2" s="1"/>
  <c r="C65" i="2" s="1"/>
  <c r="C66" i="2" s="1"/>
  <c r="D55" i="2"/>
  <c r="C52" i="2"/>
  <c r="AI173" i="2" l="1"/>
  <c r="D61" i="2"/>
  <c r="D67" i="2" a="1"/>
  <c r="C73" i="2"/>
  <c r="C68" i="2"/>
  <c r="C69" i="2" s="1"/>
  <c r="C70" i="2" s="1"/>
  <c r="C71" i="2" s="1"/>
  <c r="C72" i="2" s="1"/>
  <c r="K55" i="2"/>
  <c r="C53" i="2"/>
  <c r="AI189" i="2" l="1"/>
  <c r="K61" i="2"/>
  <c r="D67" i="2"/>
  <c r="C79" i="2"/>
  <c r="C74" i="2"/>
  <c r="D73" i="2" a="1"/>
  <c r="C54" i="2"/>
  <c r="K67" i="2" l="1"/>
  <c r="C80" i="2"/>
  <c r="D79" i="2" a="1"/>
  <c r="D73" i="2"/>
  <c r="C75" i="2"/>
  <c r="C76" i="2" l="1"/>
  <c r="C77" i="2" s="1"/>
  <c r="C78" i="2" s="1"/>
  <c r="AJ141" i="2" a="1"/>
  <c r="AJ141" i="2" s="1"/>
  <c r="AJ149" i="2" s="1" a="1"/>
  <c r="AJ149" i="2" s="1"/>
  <c r="AS141" i="2" s="1" a="1"/>
  <c r="AS141" i="2" s="1"/>
  <c r="C135" i="6" s="1" a="1"/>
  <c r="AJ13" i="2" a="1"/>
  <c r="AJ13" i="2" s="1"/>
  <c r="AJ21" i="2" s="1" a="1"/>
  <c r="AJ21" i="2" s="1"/>
  <c r="AS13" i="2" s="1" a="1"/>
  <c r="AS13" i="2" s="1"/>
  <c r="C7" i="6" s="1" a="1"/>
  <c r="AJ93" i="2" a="1"/>
  <c r="AJ93" i="2" s="1"/>
  <c r="AJ101" i="2" s="1" a="1"/>
  <c r="AJ101" i="2" s="1"/>
  <c r="AS93" i="2" s="1" a="1"/>
  <c r="AS93" i="2" s="1"/>
  <c r="C87" i="6" s="1" a="1"/>
  <c r="AJ157" i="2" a="1"/>
  <c r="AJ157" i="2" s="1"/>
  <c r="AJ165" i="2" s="1" a="1"/>
  <c r="AJ165" i="2" s="1"/>
  <c r="AS157" i="2" s="1" a="1"/>
  <c r="AS157" i="2" s="1"/>
  <c r="C151" i="6" s="1" a="1"/>
  <c r="AJ45" i="2" a="1"/>
  <c r="AJ45" i="2" s="1"/>
  <c r="AJ53" i="2" s="1" a="1"/>
  <c r="AJ53" i="2" s="1"/>
  <c r="AS45" i="2" s="1" a="1"/>
  <c r="AS45" i="2" s="1"/>
  <c r="C39" i="6" s="1" a="1"/>
  <c r="AJ109" i="2" a="1"/>
  <c r="AJ109" i="2" s="1"/>
  <c r="AJ117" i="2" s="1" a="1"/>
  <c r="AJ117" i="2" s="1"/>
  <c r="AS109" i="2" s="1" a="1"/>
  <c r="AS109" i="2" s="1"/>
  <c r="C103" i="6" s="1" a="1"/>
  <c r="AJ173" i="2" a="1"/>
  <c r="AJ173" i="2" s="1"/>
  <c r="AJ181" i="2" s="1" a="1"/>
  <c r="AJ181" i="2" s="1"/>
  <c r="AS173" i="2" s="1" a="1"/>
  <c r="AS173" i="2" s="1"/>
  <c r="C167" i="6" s="1" a="1"/>
  <c r="D79" i="2"/>
  <c r="AJ189" i="2" s="1" a="1"/>
  <c r="AJ189" i="2" s="1"/>
  <c r="AJ197" i="2" s="1" a="1"/>
  <c r="AJ197" i="2" s="1"/>
  <c r="AS189" i="2" s="1" a="1"/>
  <c r="AS189" i="2" s="1"/>
  <c r="C183" i="6" s="1" a="1"/>
  <c r="K73" i="2"/>
  <c r="C81" i="2"/>
  <c r="C17" i="1" a="1"/>
  <c r="AA8" i="1" a="1"/>
  <c r="K17" i="1" a="1"/>
  <c r="C8" i="1" a="1"/>
  <c r="C26" i="1" a="1"/>
  <c r="AA17" i="1" a="1"/>
  <c r="S8" i="1" a="1"/>
  <c r="K8" i="1" a="1"/>
  <c r="K26" i="1" a="1"/>
  <c r="Z13" i="2" a="1"/>
  <c r="S17" i="1" a="1"/>
  <c r="C135" i="6" l="1"/>
  <c r="C7" i="6"/>
  <c r="C87" i="6"/>
  <c r="C151" i="6"/>
  <c r="C39" i="6"/>
  <c r="C183" i="6"/>
  <c r="C103" i="6"/>
  <c r="C167" i="6"/>
  <c r="C82" i="2"/>
  <c r="C83" i="2" s="1"/>
  <c r="C84" i="2" s="1"/>
  <c r="S26" i="1" a="1"/>
  <c r="S26" i="1" s="1"/>
  <c r="AJ77" i="2" a="1"/>
  <c r="AJ77" i="2" s="1"/>
  <c r="AJ85" i="2" s="1" a="1"/>
  <c r="AJ85" i="2" s="1"/>
  <c r="AS77" i="2" s="1" a="1"/>
  <c r="AS77" i="2" s="1"/>
  <c r="C71" i="6" s="1" a="1"/>
  <c r="AJ29" i="2" a="1"/>
  <c r="AJ29" i="2" s="1"/>
  <c r="AJ37" i="2" s="1" a="1"/>
  <c r="AJ37" i="2" s="1"/>
  <c r="AS29" i="2" s="1" a="1"/>
  <c r="AS29" i="2" s="1"/>
  <c r="C23" i="6" s="1" a="1"/>
  <c r="AJ61" i="2" a="1"/>
  <c r="AJ61" i="2" s="1"/>
  <c r="AJ69" i="2" s="1" a="1"/>
  <c r="AJ69" i="2" s="1"/>
  <c r="AS61" i="2" s="1" a="1"/>
  <c r="AS61" i="2" s="1"/>
  <c r="C55" i="6" s="1" a="1"/>
  <c r="AJ125" i="2" a="1"/>
  <c r="AJ125" i="2" s="1"/>
  <c r="AJ133" i="2" s="1" a="1"/>
  <c r="AJ133" i="2" s="1"/>
  <c r="AS125" i="2" s="1" a="1"/>
  <c r="AS125" i="2" s="1"/>
  <c r="C119" i="6" s="1" a="1"/>
  <c r="K79" i="2"/>
  <c r="AA26" i="1" a="1"/>
  <c r="C17" i="1"/>
  <c r="AA8" i="1"/>
  <c r="K17" i="1"/>
  <c r="C8" i="1"/>
  <c r="C26" i="1"/>
  <c r="AA17" i="1"/>
  <c r="S8" i="1"/>
  <c r="K8" i="1"/>
  <c r="K26" i="1"/>
  <c r="Z13" i="2"/>
  <c r="S17" i="1"/>
  <c r="C71" i="6" l="1"/>
  <c r="C23" i="6"/>
  <c r="C55" i="6"/>
  <c r="C119" i="6"/>
  <c r="AA26" i="1"/>
  <c r="C7" i="5"/>
  <c r="Z31" i="2" a="1"/>
  <c r="Z31" i="2" s="1"/>
  <c r="C8" i="5" s="1"/>
  <c r="Z22" i="2" a="1"/>
  <c r="Z22" i="2" l="1"/>
  <c r="AP202" i="2"/>
  <c r="AO202" i="2"/>
  <c r="AN202" i="2"/>
  <c r="AM202" i="2"/>
  <c r="AL202" i="2"/>
  <c r="AK202" i="2"/>
  <c r="AJ202" i="2"/>
  <c r="AP201" i="2"/>
  <c r="AO201" i="2"/>
  <c r="AN201" i="2"/>
  <c r="AM201" i="2"/>
  <c r="AL201" i="2"/>
  <c r="AK201" i="2"/>
  <c r="AJ201" i="2"/>
  <c r="AP200" i="2"/>
  <c r="AO200" i="2"/>
  <c r="AN200" i="2"/>
  <c r="AM200" i="2"/>
  <c r="AL200" i="2"/>
  <c r="AK200" i="2"/>
  <c r="AJ200" i="2"/>
  <c r="AP199" i="2"/>
  <c r="AO199" i="2"/>
  <c r="AN199" i="2"/>
  <c r="AM199" i="2"/>
  <c r="AL199" i="2"/>
  <c r="AK199" i="2"/>
  <c r="AJ199" i="2"/>
  <c r="AP198" i="2"/>
  <c r="AO198" i="2"/>
  <c r="AN198" i="2"/>
  <c r="AM198" i="2"/>
  <c r="AL198" i="2"/>
  <c r="AK198" i="2"/>
  <c r="AJ198" i="2"/>
  <c r="AP197" i="2"/>
  <c r="AO197" i="2"/>
  <c r="AN197" i="2"/>
  <c r="AM197" i="2"/>
  <c r="AL197" i="2"/>
  <c r="AK197" i="2"/>
  <c r="AY200" i="2"/>
  <c r="AX200" i="2"/>
  <c r="AW200" i="2"/>
  <c r="AV200" i="2"/>
  <c r="AU200" i="2"/>
  <c r="AT200" i="2"/>
  <c r="AS200" i="2"/>
  <c r="AY199" i="2"/>
  <c r="AX199" i="2"/>
  <c r="AW199" i="2"/>
  <c r="AV199" i="2"/>
  <c r="AU199" i="2"/>
  <c r="AT199" i="2"/>
  <c r="AS199" i="2"/>
  <c r="AY198" i="2"/>
  <c r="AX198" i="2"/>
  <c r="AW198" i="2"/>
  <c r="AV198" i="2"/>
  <c r="AU198" i="2"/>
  <c r="AT198" i="2"/>
  <c r="AS198" i="2"/>
  <c r="AY197" i="2"/>
  <c r="AX197" i="2"/>
  <c r="AW197" i="2"/>
  <c r="AV197" i="2"/>
  <c r="AU197" i="2"/>
  <c r="AT197" i="2"/>
  <c r="AS197" i="2"/>
  <c r="AY196" i="2"/>
  <c r="AX196" i="2"/>
  <c r="AW196" i="2"/>
  <c r="AV196" i="2"/>
  <c r="AU196" i="2"/>
  <c r="AT196" i="2"/>
  <c r="AS196" i="2"/>
  <c r="AY195" i="2"/>
  <c r="AX195" i="2"/>
  <c r="AW195" i="2"/>
  <c r="AV195" i="2"/>
  <c r="AU195" i="2"/>
  <c r="AT195" i="2"/>
  <c r="AS195" i="2"/>
  <c r="AY194" i="2"/>
  <c r="AX194" i="2"/>
  <c r="AW194" i="2"/>
  <c r="AV194" i="2"/>
  <c r="AU194" i="2"/>
  <c r="AT194" i="2"/>
  <c r="AS194" i="2"/>
  <c r="AY193" i="2"/>
  <c r="AX193" i="2"/>
  <c r="AW193" i="2"/>
  <c r="AV193" i="2"/>
  <c r="AU193" i="2"/>
  <c r="AT193" i="2"/>
  <c r="AS193" i="2"/>
  <c r="AY192" i="2"/>
  <c r="AX192" i="2"/>
  <c r="AW192" i="2"/>
  <c r="AV192" i="2"/>
  <c r="AU192" i="2"/>
  <c r="AT192" i="2"/>
  <c r="AS192" i="2"/>
  <c r="AY191" i="2"/>
  <c r="AX191" i="2"/>
  <c r="AW191" i="2"/>
  <c r="AV191" i="2"/>
  <c r="AU191" i="2"/>
  <c r="AT191" i="2"/>
  <c r="AS191" i="2"/>
  <c r="AY190" i="2"/>
  <c r="AX190" i="2"/>
  <c r="AW190" i="2"/>
  <c r="AV190" i="2"/>
  <c r="AU190" i="2"/>
  <c r="AT190" i="2"/>
  <c r="AS190" i="2"/>
  <c r="AY189" i="2"/>
  <c r="AX189" i="2"/>
  <c r="AW189" i="2"/>
  <c r="AV189" i="2"/>
  <c r="AU189" i="2"/>
  <c r="AT189" i="2"/>
  <c r="AP194" i="2"/>
  <c r="AO194" i="2"/>
  <c r="AN194" i="2"/>
  <c r="AM194" i="2"/>
  <c r="AL194" i="2"/>
  <c r="AK194" i="2"/>
  <c r="AJ194" i="2"/>
  <c r="AP193" i="2"/>
  <c r="AO193" i="2"/>
  <c r="AN193" i="2"/>
  <c r="AM193" i="2"/>
  <c r="AL193" i="2"/>
  <c r="AK193" i="2"/>
  <c r="AJ193" i="2"/>
  <c r="AP192" i="2"/>
  <c r="AO192" i="2"/>
  <c r="AN192" i="2"/>
  <c r="AM192" i="2"/>
  <c r="AL192" i="2"/>
  <c r="AK192" i="2"/>
  <c r="AJ192" i="2"/>
  <c r="AP191" i="2"/>
  <c r="AO191" i="2"/>
  <c r="AN191" i="2"/>
  <c r="AM191" i="2"/>
  <c r="AL191" i="2"/>
  <c r="AK191" i="2"/>
  <c r="AJ191" i="2"/>
  <c r="AP190" i="2"/>
  <c r="AO190" i="2"/>
  <c r="AN190" i="2"/>
  <c r="AM190" i="2"/>
  <c r="AL190" i="2"/>
  <c r="AK190" i="2"/>
  <c r="AJ190" i="2"/>
  <c r="AP189" i="2"/>
  <c r="AO189" i="2"/>
  <c r="AN189" i="2"/>
  <c r="AM189" i="2"/>
  <c r="AL189" i="2"/>
  <c r="AK189" i="2"/>
  <c r="AP186" i="2"/>
  <c r="AO186" i="2"/>
  <c r="AN186" i="2"/>
  <c r="AM186" i="2"/>
  <c r="AL186" i="2"/>
  <c r="AK186" i="2"/>
  <c r="AJ186" i="2"/>
  <c r="AP185" i="2"/>
  <c r="AO185" i="2"/>
  <c r="AN185" i="2"/>
  <c r="AM185" i="2"/>
  <c r="AL185" i="2"/>
  <c r="AK185" i="2"/>
  <c r="AJ185" i="2"/>
  <c r="AP184" i="2"/>
  <c r="AO184" i="2"/>
  <c r="AN184" i="2"/>
  <c r="AM184" i="2"/>
  <c r="AL184" i="2"/>
  <c r="AK184" i="2"/>
  <c r="AJ184" i="2"/>
  <c r="AP183" i="2"/>
  <c r="AO183" i="2"/>
  <c r="AN183" i="2"/>
  <c r="AM183" i="2"/>
  <c r="AL183" i="2"/>
  <c r="AK183" i="2"/>
  <c r="AJ183" i="2"/>
  <c r="AP182" i="2"/>
  <c r="AO182" i="2"/>
  <c r="AN182" i="2"/>
  <c r="AM182" i="2"/>
  <c r="AL182" i="2"/>
  <c r="AK182" i="2"/>
  <c r="AJ182" i="2"/>
  <c r="AP181" i="2"/>
  <c r="AO181" i="2"/>
  <c r="AN181" i="2"/>
  <c r="AM181" i="2"/>
  <c r="AL181" i="2"/>
  <c r="AK181" i="2"/>
  <c r="AY184" i="2"/>
  <c r="AX184" i="2"/>
  <c r="AW184" i="2"/>
  <c r="AV184" i="2"/>
  <c r="AU184" i="2"/>
  <c r="AT184" i="2"/>
  <c r="AS184" i="2"/>
  <c r="AY183" i="2"/>
  <c r="AX183" i="2"/>
  <c r="AW183" i="2"/>
  <c r="AV183" i="2"/>
  <c r="AU183" i="2"/>
  <c r="AT183" i="2"/>
  <c r="AS183" i="2"/>
  <c r="AY182" i="2"/>
  <c r="AX182" i="2"/>
  <c r="AW182" i="2"/>
  <c r="AV182" i="2"/>
  <c r="AU182" i="2"/>
  <c r="AT182" i="2"/>
  <c r="AS182" i="2"/>
  <c r="AY181" i="2"/>
  <c r="AX181" i="2"/>
  <c r="AW181" i="2"/>
  <c r="AV181" i="2"/>
  <c r="AU181" i="2"/>
  <c r="AT181" i="2"/>
  <c r="AS181" i="2"/>
  <c r="AY180" i="2"/>
  <c r="AX180" i="2"/>
  <c r="AW180" i="2"/>
  <c r="AV180" i="2"/>
  <c r="AU180" i="2"/>
  <c r="AT180" i="2"/>
  <c r="AS180" i="2"/>
  <c r="AY179" i="2"/>
  <c r="AX179" i="2"/>
  <c r="AW179" i="2"/>
  <c r="AV179" i="2"/>
  <c r="AU179" i="2"/>
  <c r="AT179" i="2"/>
  <c r="AS179" i="2"/>
  <c r="AY178" i="2"/>
  <c r="AX178" i="2"/>
  <c r="AW178" i="2"/>
  <c r="AV178" i="2"/>
  <c r="AU178" i="2"/>
  <c r="AT178" i="2"/>
  <c r="AS178" i="2"/>
  <c r="AY177" i="2"/>
  <c r="AX177" i="2"/>
  <c r="AW177" i="2"/>
  <c r="AV177" i="2"/>
  <c r="AU177" i="2"/>
  <c r="AT177" i="2"/>
  <c r="AS177" i="2"/>
  <c r="AY176" i="2"/>
  <c r="AX176" i="2"/>
  <c r="AW176" i="2"/>
  <c r="AV176" i="2"/>
  <c r="AU176" i="2"/>
  <c r="AT176" i="2"/>
  <c r="AS176" i="2"/>
  <c r="AY175" i="2"/>
  <c r="AX175" i="2"/>
  <c r="AW175" i="2"/>
  <c r="AV175" i="2"/>
  <c r="AU175" i="2"/>
  <c r="AT175" i="2"/>
  <c r="AS175" i="2"/>
  <c r="AY174" i="2"/>
  <c r="AX174" i="2"/>
  <c r="AW174" i="2"/>
  <c r="AV174" i="2"/>
  <c r="AU174" i="2"/>
  <c r="AT174" i="2"/>
  <c r="AS174" i="2"/>
  <c r="AY173" i="2"/>
  <c r="AX173" i="2"/>
  <c r="AW173" i="2"/>
  <c r="AV173" i="2"/>
  <c r="AU173" i="2"/>
  <c r="AT173" i="2"/>
  <c r="AP178" i="2"/>
  <c r="AO178" i="2"/>
  <c r="AN178" i="2"/>
  <c r="AM178" i="2"/>
  <c r="AL178" i="2"/>
  <c r="AK178" i="2"/>
  <c r="AJ178" i="2"/>
  <c r="AP177" i="2"/>
  <c r="AO177" i="2"/>
  <c r="AN177" i="2"/>
  <c r="AM177" i="2"/>
  <c r="AL177" i="2"/>
  <c r="AK177" i="2"/>
  <c r="AJ177" i="2"/>
  <c r="AP176" i="2"/>
  <c r="AO176" i="2"/>
  <c r="AN176" i="2"/>
  <c r="AM176" i="2"/>
  <c r="AL176" i="2"/>
  <c r="AK176" i="2"/>
  <c r="AJ176" i="2"/>
  <c r="AP175" i="2"/>
  <c r="AO175" i="2"/>
  <c r="AN175" i="2"/>
  <c r="AM175" i="2"/>
  <c r="AL175" i="2"/>
  <c r="AK175" i="2"/>
  <c r="AJ175" i="2"/>
  <c r="AP174" i="2"/>
  <c r="AO174" i="2"/>
  <c r="AN174" i="2"/>
  <c r="AM174" i="2"/>
  <c r="AL174" i="2"/>
  <c r="AK174" i="2"/>
  <c r="AJ174" i="2"/>
  <c r="AP173" i="2"/>
  <c r="AO173" i="2"/>
  <c r="AN173" i="2"/>
  <c r="AM173" i="2"/>
  <c r="AL173" i="2"/>
  <c r="AK173" i="2"/>
  <c r="AP170" i="2"/>
  <c r="AO170" i="2"/>
  <c r="AN170" i="2"/>
  <c r="AM170" i="2"/>
  <c r="AL170" i="2"/>
  <c r="AK170" i="2"/>
  <c r="AJ170" i="2"/>
  <c r="AP169" i="2"/>
  <c r="AO169" i="2"/>
  <c r="AN169" i="2"/>
  <c r="AM169" i="2"/>
  <c r="AL169" i="2"/>
  <c r="AK169" i="2"/>
  <c r="AJ169" i="2"/>
  <c r="AP168" i="2"/>
  <c r="AO168" i="2"/>
  <c r="AN168" i="2"/>
  <c r="AM168" i="2"/>
  <c r="AL168" i="2"/>
  <c r="AK168" i="2"/>
  <c r="AJ168" i="2"/>
  <c r="AP167" i="2"/>
  <c r="AO167" i="2"/>
  <c r="AN167" i="2"/>
  <c r="AM167" i="2"/>
  <c r="AL167" i="2"/>
  <c r="AK167" i="2"/>
  <c r="AJ167" i="2"/>
  <c r="AP166" i="2"/>
  <c r="AO166" i="2"/>
  <c r="AN166" i="2"/>
  <c r="AM166" i="2"/>
  <c r="AL166" i="2"/>
  <c r="AK166" i="2"/>
  <c r="AJ166" i="2"/>
  <c r="AP165" i="2"/>
  <c r="AO165" i="2"/>
  <c r="AN165" i="2"/>
  <c r="AM165" i="2"/>
  <c r="AL165" i="2"/>
  <c r="AK165" i="2"/>
  <c r="AY168" i="2"/>
  <c r="AX168" i="2"/>
  <c r="AW168" i="2"/>
  <c r="AV168" i="2"/>
  <c r="AU168" i="2"/>
  <c r="AT168" i="2"/>
  <c r="AS168" i="2"/>
  <c r="AY167" i="2"/>
  <c r="AX167" i="2"/>
  <c r="AW167" i="2"/>
  <c r="AV167" i="2"/>
  <c r="AU167" i="2"/>
  <c r="AT167" i="2"/>
  <c r="AS167" i="2"/>
  <c r="AY166" i="2"/>
  <c r="AX166" i="2"/>
  <c r="AW166" i="2"/>
  <c r="AV166" i="2"/>
  <c r="AU166" i="2"/>
  <c r="AT166" i="2"/>
  <c r="AS166" i="2"/>
  <c r="AY165" i="2"/>
  <c r="AX165" i="2"/>
  <c r="AW165" i="2"/>
  <c r="AV165" i="2"/>
  <c r="AU165" i="2"/>
  <c r="AT165" i="2"/>
  <c r="AS165" i="2"/>
  <c r="AY164" i="2"/>
  <c r="AX164" i="2"/>
  <c r="AW164" i="2"/>
  <c r="AV164" i="2"/>
  <c r="AU164" i="2"/>
  <c r="AT164" i="2"/>
  <c r="AS164" i="2"/>
  <c r="AY163" i="2"/>
  <c r="AX163" i="2"/>
  <c r="AW163" i="2"/>
  <c r="AV163" i="2"/>
  <c r="AU163" i="2"/>
  <c r="AT163" i="2"/>
  <c r="AS163" i="2"/>
  <c r="AY162" i="2"/>
  <c r="AX162" i="2"/>
  <c r="AW162" i="2"/>
  <c r="AV162" i="2"/>
  <c r="AU162" i="2"/>
  <c r="AT162" i="2"/>
  <c r="AS162" i="2"/>
  <c r="AY161" i="2"/>
  <c r="AX161" i="2"/>
  <c r="AW161" i="2"/>
  <c r="AV161" i="2"/>
  <c r="AU161" i="2"/>
  <c r="AT161" i="2"/>
  <c r="AS161" i="2"/>
  <c r="AY160" i="2"/>
  <c r="AX160" i="2"/>
  <c r="AW160" i="2"/>
  <c r="AV160" i="2"/>
  <c r="AU160" i="2"/>
  <c r="AT160" i="2"/>
  <c r="AS160" i="2"/>
  <c r="AY159" i="2"/>
  <c r="AX159" i="2"/>
  <c r="AW159" i="2"/>
  <c r="AV159" i="2"/>
  <c r="AU159" i="2"/>
  <c r="AT159" i="2"/>
  <c r="AS159" i="2"/>
  <c r="AY158" i="2"/>
  <c r="AX158" i="2"/>
  <c r="AW158" i="2"/>
  <c r="AV158" i="2"/>
  <c r="AU158" i="2"/>
  <c r="AT158" i="2"/>
  <c r="AS158" i="2"/>
  <c r="AY157" i="2"/>
  <c r="AX157" i="2"/>
  <c r="AW157" i="2"/>
  <c r="AV157" i="2"/>
  <c r="AU157" i="2"/>
  <c r="AT157" i="2"/>
  <c r="AP162" i="2"/>
  <c r="AO162" i="2"/>
  <c r="AN162" i="2"/>
  <c r="AM162" i="2"/>
  <c r="AL162" i="2"/>
  <c r="AK162" i="2"/>
  <c r="AJ162" i="2"/>
  <c r="AP161" i="2"/>
  <c r="AO161" i="2"/>
  <c r="AN161" i="2"/>
  <c r="AM161" i="2"/>
  <c r="AL161" i="2"/>
  <c r="AK161" i="2"/>
  <c r="AJ161" i="2"/>
  <c r="AP160" i="2"/>
  <c r="AO160" i="2"/>
  <c r="AN160" i="2"/>
  <c r="AM160" i="2"/>
  <c r="AL160" i="2"/>
  <c r="AK160" i="2"/>
  <c r="AJ160" i="2"/>
  <c r="AP159" i="2"/>
  <c r="AO159" i="2"/>
  <c r="AN159" i="2"/>
  <c r="AM159" i="2"/>
  <c r="AL159" i="2"/>
  <c r="AK159" i="2"/>
  <c r="AJ159" i="2"/>
  <c r="AP158" i="2"/>
  <c r="AO158" i="2"/>
  <c r="AN158" i="2"/>
  <c r="AM158" i="2"/>
  <c r="AL158" i="2"/>
  <c r="AK158" i="2"/>
  <c r="AJ158" i="2"/>
  <c r="AP157" i="2"/>
  <c r="AO157" i="2"/>
  <c r="AN157" i="2"/>
  <c r="AM157" i="2"/>
  <c r="AL157" i="2"/>
  <c r="AK157" i="2"/>
  <c r="AP154" i="2"/>
  <c r="AO154" i="2"/>
  <c r="AN154" i="2"/>
  <c r="AM154" i="2"/>
  <c r="AL154" i="2"/>
  <c r="AK154" i="2"/>
  <c r="AJ154" i="2"/>
  <c r="AP153" i="2"/>
  <c r="AO153" i="2"/>
  <c r="AN153" i="2"/>
  <c r="AM153" i="2"/>
  <c r="AL153" i="2"/>
  <c r="AK153" i="2"/>
  <c r="AJ153" i="2"/>
  <c r="AP152" i="2"/>
  <c r="AO152" i="2"/>
  <c r="AN152" i="2"/>
  <c r="AM152" i="2"/>
  <c r="AL152" i="2"/>
  <c r="AK152" i="2"/>
  <c r="AJ152" i="2"/>
  <c r="AP151" i="2"/>
  <c r="AO151" i="2"/>
  <c r="AN151" i="2"/>
  <c r="AM151" i="2"/>
  <c r="AL151" i="2"/>
  <c r="AK151" i="2"/>
  <c r="AJ151" i="2"/>
  <c r="AP150" i="2"/>
  <c r="AO150" i="2"/>
  <c r="AN150" i="2"/>
  <c r="AM150" i="2"/>
  <c r="AL150" i="2"/>
  <c r="AK150" i="2"/>
  <c r="AJ150" i="2"/>
  <c r="AP149" i="2"/>
  <c r="AO149" i="2"/>
  <c r="AN149" i="2"/>
  <c r="AM149" i="2"/>
  <c r="AL149" i="2"/>
  <c r="AK149" i="2"/>
  <c r="AY152" i="2"/>
  <c r="AX152" i="2"/>
  <c r="AW152" i="2"/>
  <c r="AV152" i="2"/>
  <c r="AU152" i="2"/>
  <c r="AT152" i="2"/>
  <c r="AS152" i="2"/>
  <c r="AY151" i="2"/>
  <c r="AX151" i="2"/>
  <c r="AW151" i="2"/>
  <c r="AV151" i="2"/>
  <c r="AU151" i="2"/>
  <c r="AT151" i="2"/>
  <c r="AS151" i="2"/>
  <c r="AY150" i="2"/>
  <c r="AX150" i="2"/>
  <c r="AW150" i="2"/>
  <c r="AV150" i="2"/>
  <c r="AU150" i="2"/>
  <c r="AT150" i="2"/>
  <c r="AS150" i="2"/>
  <c r="AY149" i="2"/>
  <c r="AX149" i="2"/>
  <c r="AW149" i="2"/>
  <c r="AV149" i="2"/>
  <c r="AU149" i="2"/>
  <c r="AT149" i="2"/>
  <c r="AS149" i="2"/>
  <c r="AY148" i="2"/>
  <c r="AX148" i="2"/>
  <c r="AW148" i="2"/>
  <c r="AV148" i="2"/>
  <c r="AU148" i="2"/>
  <c r="AT148" i="2"/>
  <c r="AS148" i="2"/>
  <c r="AY147" i="2"/>
  <c r="AX147" i="2"/>
  <c r="AW147" i="2"/>
  <c r="AV147" i="2"/>
  <c r="AU147" i="2"/>
  <c r="AT147" i="2"/>
  <c r="AS147" i="2"/>
  <c r="AY146" i="2"/>
  <c r="AX146" i="2"/>
  <c r="AW146" i="2"/>
  <c r="AV146" i="2"/>
  <c r="AU146" i="2"/>
  <c r="AT146" i="2"/>
  <c r="AS146" i="2"/>
  <c r="AY145" i="2"/>
  <c r="AX145" i="2"/>
  <c r="AW145" i="2"/>
  <c r="AV145" i="2"/>
  <c r="AU145" i="2"/>
  <c r="AT145" i="2"/>
  <c r="AS145" i="2"/>
  <c r="AY144" i="2"/>
  <c r="AX144" i="2"/>
  <c r="AW144" i="2"/>
  <c r="AV144" i="2"/>
  <c r="AU144" i="2"/>
  <c r="AT144" i="2"/>
  <c r="AS144" i="2"/>
  <c r="AY143" i="2"/>
  <c r="AX143" i="2"/>
  <c r="AW143" i="2"/>
  <c r="AV143" i="2"/>
  <c r="AU143" i="2"/>
  <c r="AT143" i="2"/>
  <c r="AS143" i="2"/>
  <c r="AY142" i="2"/>
  <c r="AX142" i="2"/>
  <c r="AW142" i="2"/>
  <c r="AV142" i="2"/>
  <c r="AU142" i="2"/>
  <c r="AT142" i="2"/>
  <c r="AS142" i="2"/>
  <c r="AY141" i="2"/>
  <c r="AX141" i="2"/>
  <c r="AW141" i="2"/>
  <c r="AV141" i="2"/>
  <c r="AU141" i="2"/>
  <c r="AT141" i="2"/>
  <c r="AP146" i="2"/>
  <c r="AO146" i="2"/>
  <c r="AN146" i="2"/>
  <c r="AM146" i="2"/>
  <c r="AL146" i="2"/>
  <c r="AK146" i="2"/>
  <c r="AJ146" i="2"/>
  <c r="AP145" i="2"/>
  <c r="AO145" i="2"/>
  <c r="AN145" i="2"/>
  <c r="AM145" i="2"/>
  <c r="AL145" i="2"/>
  <c r="AK145" i="2"/>
  <c r="AJ145" i="2"/>
  <c r="AP144" i="2"/>
  <c r="AO144" i="2"/>
  <c r="AN144" i="2"/>
  <c r="AM144" i="2"/>
  <c r="AL144" i="2"/>
  <c r="AK144" i="2"/>
  <c r="AJ144" i="2"/>
  <c r="AP143" i="2"/>
  <c r="AO143" i="2"/>
  <c r="AN143" i="2"/>
  <c r="AM143" i="2"/>
  <c r="AL143" i="2"/>
  <c r="AK143" i="2"/>
  <c r="AJ143" i="2"/>
  <c r="AP142" i="2"/>
  <c r="AO142" i="2"/>
  <c r="AN142" i="2"/>
  <c r="AM142" i="2"/>
  <c r="AL142" i="2"/>
  <c r="AK142" i="2"/>
  <c r="AJ142" i="2"/>
  <c r="AP141" i="2"/>
  <c r="AO141" i="2"/>
  <c r="AN141" i="2"/>
  <c r="AM141" i="2"/>
  <c r="AL141" i="2"/>
  <c r="AK141" i="2"/>
  <c r="AP138" i="2"/>
  <c r="AO138" i="2"/>
  <c r="AN138" i="2"/>
  <c r="AM138" i="2"/>
  <c r="AL138" i="2"/>
  <c r="AK138" i="2"/>
  <c r="AJ138" i="2"/>
  <c r="AP137" i="2"/>
  <c r="AO137" i="2"/>
  <c r="AN137" i="2"/>
  <c r="AM137" i="2"/>
  <c r="AL137" i="2"/>
  <c r="AK137" i="2"/>
  <c r="AJ137" i="2"/>
  <c r="AP136" i="2"/>
  <c r="AO136" i="2"/>
  <c r="AN136" i="2"/>
  <c r="AM136" i="2"/>
  <c r="AL136" i="2"/>
  <c r="AK136" i="2"/>
  <c r="AJ136" i="2"/>
  <c r="AP135" i="2"/>
  <c r="AO135" i="2"/>
  <c r="AN135" i="2"/>
  <c r="AM135" i="2"/>
  <c r="AL135" i="2"/>
  <c r="AK135" i="2"/>
  <c r="AJ135" i="2"/>
  <c r="AP134" i="2"/>
  <c r="AO134" i="2"/>
  <c r="AN134" i="2"/>
  <c r="AM134" i="2"/>
  <c r="AL134" i="2"/>
  <c r="AK134" i="2"/>
  <c r="AJ134" i="2"/>
  <c r="AP133" i="2"/>
  <c r="AO133" i="2"/>
  <c r="AN133" i="2"/>
  <c r="AM133" i="2"/>
  <c r="AL133" i="2"/>
  <c r="AK133" i="2"/>
  <c r="AY136" i="2"/>
  <c r="AX136" i="2"/>
  <c r="AW136" i="2"/>
  <c r="AV136" i="2"/>
  <c r="AU136" i="2"/>
  <c r="AT136" i="2"/>
  <c r="AS136" i="2"/>
  <c r="AY135" i="2"/>
  <c r="AX135" i="2"/>
  <c r="AW135" i="2"/>
  <c r="AV135" i="2"/>
  <c r="AU135" i="2"/>
  <c r="AT135" i="2"/>
  <c r="AS135" i="2"/>
  <c r="AY134" i="2"/>
  <c r="AX134" i="2"/>
  <c r="AW134" i="2"/>
  <c r="AV134" i="2"/>
  <c r="AU134" i="2"/>
  <c r="AT134" i="2"/>
  <c r="AS134" i="2"/>
  <c r="AY133" i="2"/>
  <c r="AX133" i="2"/>
  <c r="AW133" i="2"/>
  <c r="AV133" i="2"/>
  <c r="AU133" i="2"/>
  <c r="AT133" i="2"/>
  <c r="AS133" i="2"/>
  <c r="AY132" i="2"/>
  <c r="AX132" i="2"/>
  <c r="AW132" i="2"/>
  <c r="AV132" i="2"/>
  <c r="AU132" i="2"/>
  <c r="AT132" i="2"/>
  <c r="AS132" i="2"/>
  <c r="AY131" i="2"/>
  <c r="AX131" i="2"/>
  <c r="AW131" i="2"/>
  <c r="AV131" i="2"/>
  <c r="AU131" i="2"/>
  <c r="AT131" i="2"/>
  <c r="AS131" i="2"/>
  <c r="AY130" i="2"/>
  <c r="AX130" i="2"/>
  <c r="AW130" i="2"/>
  <c r="AV130" i="2"/>
  <c r="AU130" i="2"/>
  <c r="AT130" i="2"/>
  <c r="AS130" i="2"/>
  <c r="AY129" i="2"/>
  <c r="AX129" i="2"/>
  <c r="AW129" i="2"/>
  <c r="AV129" i="2"/>
  <c r="AU129" i="2"/>
  <c r="AT129" i="2"/>
  <c r="AS129" i="2"/>
  <c r="AY128" i="2"/>
  <c r="AX128" i="2"/>
  <c r="AW128" i="2"/>
  <c r="AV128" i="2"/>
  <c r="AU128" i="2"/>
  <c r="AT128" i="2"/>
  <c r="AS128" i="2"/>
  <c r="AY127" i="2"/>
  <c r="AX127" i="2"/>
  <c r="AW127" i="2"/>
  <c r="AV127" i="2"/>
  <c r="AU127" i="2"/>
  <c r="AT127" i="2"/>
  <c r="AS127" i="2"/>
  <c r="AY126" i="2"/>
  <c r="AX126" i="2"/>
  <c r="AW126" i="2"/>
  <c r="AV126" i="2"/>
  <c r="AU126" i="2"/>
  <c r="AT126" i="2"/>
  <c r="AS126" i="2"/>
  <c r="AY125" i="2"/>
  <c r="AX125" i="2"/>
  <c r="AW125" i="2"/>
  <c r="AV125" i="2"/>
  <c r="AU125" i="2"/>
  <c r="AT125" i="2"/>
  <c r="AP130" i="2"/>
  <c r="AO130" i="2"/>
  <c r="AN130" i="2"/>
  <c r="AM130" i="2"/>
  <c r="AL130" i="2"/>
  <c r="AK130" i="2"/>
  <c r="AJ130" i="2"/>
  <c r="AP129" i="2"/>
  <c r="AO129" i="2"/>
  <c r="AN129" i="2"/>
  <c r="AM129" i="2"/>
  <c r="AL129" i="2"/>
  <c r="AK129" i="2"/>
  <c r="AJ129" i="2"/>
  <c r="AP128" i="2"/>
  <c r="AO128" i="2"/>
  <c r="AN128" i="2"/>
  <c r="AM128" i="2"/>
  <c r="AL128" i="2"/>
  <c r="AK128" i="2"/>
  <c r="AJ128" i="2"/>
  <c r="AP127" i="2"/>
  <c r="AO127" i="2"/>
  <c r="AN127" i="2"/>
  <c r="AM127" i="2"/>
  <c r="AL127" i="2"/>
  <c r="AK127" i="2"/>
  <c r="AJ127" i="2"/>
  <c r="AP126" i="2"/>
  <c r="AO126" i="2"/>
  <c r="AN126" i="2"/>
  <c r="AM126" i="2"/>
  <c r="AL126" i="2"/>
  <c r="AK126" i="2"/>
  <c r="AJ126" i="2"/>
  <c r="AP125" i="2"/>
  <c r="AO125" i="2"/>
  <c r="AN125" i="2"/>
  <c r="AM125" i="2"/>
  <c r="AL125" i="2"/>
  <c r="AK125" i="2"/>
  <c r="AP122" i="2"/>
  <c r="AO122" i="2"/>
  <c r="AN122" i="2"/>
  <c r="AM122" i="2"/>
  <c r="AL122" i="2"/>
  <c r="AK122" i="2"/>
  <c r="AJ122" i="2"/>
  <c r="AP121" i="2"/>
  <c r="AO121" i="2"/>
  <c r="AN121" i="2"/>
  <c r="AM121" i="2"/>
  <c r="AL121" i="2"/>
  <c r="AK121" i="2"/>
  <c r="AJ121" i="2"/>
  <c r="AP120" i="2"/>
  <c r="AO120" i="2"/>
  <c r="AN120" i="2"/>
  <c r="AM120" i="2"/>
  <c r="AL120" i="2"/>
  <c r="AK120" i="2"/>
  <c r="AJ120" i="2"/>
  <c r="AP119" i="2"/>
  <c r="AO119" i="2"/>
  <c r="AN119" i="2"/>
  <c r="AM119" i="2"/>
  <c r="AL119" i="2"/>
  <c r="AK119" i="2"/>
  <c r="AJ119" i="2"/>
  <c r="AP118" i="2"/>
  <c r="AO118" i="2"/>
  <c r="AN118" i="2"/>
  <c r="AM118" i="2"/>
  <c r="AL118" i="2"/>
  <c r="AK118" i="2"/>
  <c r="AJ118" i="2"/>
  <c r="AP117" i="2"/>
  <c r="AO117" i="2"/>
  <c r="AN117" i="2"/>
  <c r="AM117" i="2"/>
  <c r="AL117" i="2"/>
  <c r="AK117" i="2"/>
  <c r="AY120" i="2"/>
  <c r="AX120" i="2"/>
  <c r="AW120" i="2"/>
  <c r="AV120" i="2"/>
  <c r="AU120" i="2"/>
  <c r="AT120" i="2"/>
  <c r="AS120" i="2"/>
  <c r="AY119" i="2"/>
  <c r="AX119" i="2"/>
  <c r="AW119" i="2"/>
  <c r="AV119" i="2"/>
  <c r="AU119" i="2"/>
  <c r="AT119" i="2"/>
  <c r="AS119" i="2"/>
  <c r="AY118" i="2"/>
  <c r="AX118" i="2"/>
  <c r="AW118" i="2"/>
  <c r="AV118" i="2"/>
  <c r="AU118" i="2"/>
  <c r="AT118" i="2"/>
  <c r="AS118" i="2"/>
  <c r="AY117" i="2"/>
  <c r="AX117" i="2"/>
  <c r="AW117" i="2"/>
  <c r="AV117" i="2"/>
  <c r="AU117" i="2"/>
  <c r="AT117" i="2"/>
  <c r="AS117" i="2"/>
  <c r="AY116" i="2"/>
  <c r="AX116" i="2"/>
  <c r="AW116" i="2"/>
  <c r="AV116" i="2"/>
  <c r="AU116" i="2"/>
  <c r="AT116" i="2"/>
  <c r="AS116" i="2"/>
  <c r="AY115" i="2"/>
  <c r="AX115" i="2"/>
  <c r="AW115" i="2"/>
  <c r="AV115" i="2"/>
  <c r="AU115" i="2"/>
  <c r="AT115" i="2"/>
  <c r="AS115" i="2"/>
  <c r="AY114" i="2"/>
  <c r="AX114" i="2"/>
  <c r="AW114" i="2"/>
  <c r="AV114" i="2"/>
  <c r="AU114" i="2"/>
  <c r="AT114" i="2"/>
  <c r="AS114" i="2"/>
  <c r="AY113" i="2"/>
  <c r="AX113" i="2"/>
  <c r="AW113" i="2"/>
  <c r="AV113" i="2"/>
  <c r="AU113" i="2"/>
  <c r="AT113" i="2"/>
  <c r="AS113" i="2"/>
  <c r="AY112" i="2"/>
  <c r="AX112" i="2"/>
  <c r="AW112" i="2"/>
  <c r="AV112" i="2"/>
  <c r="AU112" i="2"/>
  <c r="AT112" i="2"/>
  <c r="AS112" i="2"/>
  <c r="AY111" i="2"/>
  <c r="AX111" i="2"/>
  <c r="AW111" i="2"/>
  <c r="AV111" i="2"/>
  <c r="AU111" i="2"/>
  <c r="AT111" i="2"/>
  <c r="AS111" i="2"/>
  <c r="AY110" i="2"/>
  <c r="AX110" i="2"/>
  <c r="AW110" i="2"/>
  <c r="AV110" i="2"/>
  <c r="AU110" i="2"/>
  <c r="AT110" i="2"/>
  <c r="AS110" i="2"/>
  <c r="AY109" i="2"/>
  <c r="AX109" i="2"/>
  <c r="AW109" i="2"/>
  <c r="AV109" i="2"/>
  <c r="AU109" i="2"/>
  <c r="AT109" i="2"/>
  <c r="AP114" i="2"/>
  <c r="AO114" i="2"/>
  <c r="AN114" i="2"/>
  <c r="AM114" i="2"/>
  <c r="AL114" i="2"/>
  <c r="AK114" i="2"/>
  <c r="AJ114" i="2"/>
  <c r="AP113" i="2"/>
  <c r="AO113" i="2"/>
  <c r="AN113" i="2"/>
  <c r="AM113" i="2"/>
  <c r="AL113" i="2"/>
  <c r="AK113" i="2"/>
  <c r="AJ113" i="2"/>
  <c r="AP112" i="2"/>
  <c r="AO112" i="2"/>
  <c r="AN112" i="2"/>
  <c r="AM112" i="2"/>
  <c r="AL112" i="2"/>
  <c r="AK112" i="2"/>
  <c r="AJ112" i="2"/>
  <c r="AP111" i="2"/>
  <c r="AO111" i="2"/>
  <c r="AN111" i="2"/>
  <c r="AM111" i="2"/>
  <c r="AL111" i="2"/>
  <c r="AK111" i="2"/>
  <c r="AJ111" i="2"/>
  <c r="AP110" i="2"/>
  <c r="AO110" i="2"/>
  <c r="AN110" i="2"/>
  <c r="AM110" i="2"/>
  <c r="AL110" i="2"/>
  <c r="AK110" i="2"/>
  <c r="AJ110" i="2"/>
  <c r="AP109" i="2"/>
  <c r="AO109" i="2"/>
  <c r="AN109" i="2"/>
  <c r="AM109" i="2"/>
  <c r="AL109" i="2"/>
  <c r="AK109" i="2"/>
  <c r="AP106" i="2"/>
  <c r="AO106" i="2"/>
  <c r="AN106" i="2"/>
  <c r="AM106" i="2"/>
  <c r="AL106" i="2"/>
  <c r="AK106" i="2"/>
  <c r="AJ106" i="2"/>
  <c r="AP105" i="2"/>
  <c r="AO105" i="2"/>
  <c r="AN105" i="2"/>
  <c r="AM105" i="2"/>
  <c r="AL105" i="2"/>
  <c r="AK105" i="2"/>
  <c r="AJ105" i="2"/>
  <c r="AP104" i="2"/>
  <c r="AO104" i="2"/>
  <c r="AN104" i="2"/>
  <c r="AM104" i="2"/>
  <c r="AL104" i="2"/>
  <c r="AK104" i="2"/>
  <c r="AJ104" i="2"/>
  <c r="AP103" i="2"/>
  <c r="AO103" i="2"/>
  <c r="AN103" i="2"/>
  <c r="AM103" i="2"/>
  <c r="AL103" i="2"/>
  <c r="AK103" i="2"/>
  <c r="AJ103" i="2"/>
  <c r="AP102" i="2"/>
  <c r="AO102" i="2"/>
  <c r="AN102" i="2"/>
  <c r="AM102" i="2"/>
  <c r="AL102" i="2"/>
  <c r="AK102" i="2"/>
  <c r="AJ102" i="2"/>
  <c r="AP101" i="2"/>
  <c r="AO101" i="2"/>
  <c r="AN101" i="2"/>
  <c r="AM101" i="2"/>
  <c r="AL101" i="2"/>
  <c r="AK101" i="2"/>
  <c r="AY104" i="2"/>
  <c r="AX104" i="2"/>
  <c r="AW104" i="2"/>
  <c r="AV104" i="2"/>
  <c r="AU104" i="2"/>
  <c r="AT104" i="2"/>
  <c r="AS104" i="2"/>
  <c r="AY103" i="2"/>
  <c r="AX103" i="2"/>
  <c r="AW103" i="2"/>
  <c r="AV103" i="2"/>
  <c r="AU103" i="2"/>
  <c r="AT103" i="2"/>
  <c r="AS103" i="2"/>
  <c r="AY102" i="2"/>
  <c r="AX102" i="2"/>
  <c r="AW102" i="2"/>
  <c r="AV102" i="2"/>
  <c r="AU102" i="2"/>
  <c r="AT102" i="2"/>
  <c r="AS102" i="2"/>
  <c r="AY101" i="2"/>
  <c r="AX101" i="2"/>
  <c r="AW101" i="2"/>
  <c r="AV101" i="2"/>
  <c r="AU101" i="2"/>
  <c r="AT101" i="2"/>
  <c r="AS101" i="2"/>
  <c r="AY100" i="2"/>
  <c r="AX100" i="2"/>
  <c r="AW100" i="2"/>
  <c r="AV100" i="2"/>
  <c r="AU100" i="2"/>
  <c r="AT100" i="2"/>
  <c r="AS100" i="2"/>
  <c r="AY99" i="2"/>
  <c r="AX99" i="2"/>
  <c r="AW99" i="2"/>
  <c r="AV99" i="2"/>
  <c r="AU99" i="2"/>
  <c r="AT99" i="2"/>
  <c r="AS99" i="2"/>
  <c r="AY98" i="2"/>
  <c r="AX98" i="2"/>
  <c r="AW98" i="2"/>
  <c r="AV98" i="2"/>
  <c r="AU98" i="2"/>
  <c r="AT98" i="2"/>
  <c r="AS98" i="2"/>
  <c r="AY97" i="2"/>
  <c r="AX97" i="2"/>
  <c r="AW97" i="2"/>
  <c r="AV97" i="2"/>
  <c r="AU97" i="2"/>
  <c r="AT97" i="2"/>
  <c r="AS97" i="2"/>
  <c r="AY96" i="2"/>
  <c r="AX96" i="2"/>
  <c r="AW96" i="2"/>
  <c r="AV96" i="2"/>
  <c r="AU96" i="2"/>
  <c r="AT96" i="2"/>
  <c r="AS96" i="2"/>
  <c r="AY95" i="2"/>
  <c r="AX95" i="2"/>
  <c r="AW95" i="2"/>
  <c r="AV95" i="2"/>
  <c r="AU95" i="2"/>
  <c r="AT95" i="2"/>
  <c r="AS95" i="2"/>
  <c r="AY94" i="2"/>
  <c r="AX94" i="2"/>
  <c r="AW94" i="2"/>
  <c r="AV94" i="2"/>
  <c r="AU94" i="2"/>
  <c r="AT94" i="2"/>
  <c r="AS94" i="2"/>
  <c r="AY93" i="2"/>
  <c r="AX93" i="2"/>
  <c r="AW93" i="2"/>
  <c r="AV93" i="2"/>
  <c r="AU93" i="2"/>
  <c r="AT93" i="2"/>
  <c r="AP98" i="2"/>
  <c r="AO98" i="2"/>
  <c r="AN98" i="2"/>
  <c r="AM98" i="2"/>
  <c r="AL98" i="2"/>
  <c r="AK98" i="2"/>
  <c r="AJ98" i="2"/>
  <c r="AP97" i="2"/>
  <c r="AO97" i="2"/>
  <c r="AN97" i="2"/>
  <c r="AM97" i="2"/>
  <c r="AL97" i="2"/>
  <c r="AK97" i="2"/>
  <c r="AJ97" i="2"/>
  <c r="AP96" i="2"/>
  <c r="AO96" i="2"/>
  <c r="AN96" i="2"/>
  <c r="AM96" i="2"/>
  <c r="AL96" i="2"/>
  <c r="AK96" i="2"/>
  <c r="AJ96" i="2"/>
  <c r="AP95" i="2"/>
  <c r="AO95" i="2"/>
  <c r="AN95" i="2"/>
  <c r="AM95" i="2"/>
  <c r="AL95" i="2"/>
  <c r="AK95" i="2"/>
  <c r="AJ95" i="2"/>
  <c r="AP94" i="2"/>
  <c r="AO94" i="2"/>
  <c r="AN94" i="2"/>
  <c r="AM94" i="2"/>
  <c r="AL94" i="2"/>
  <c r="AK94" i="2"/>
  <c r="AJ94" i="2"/>
  <c r="AP93" i="2"/>
  <c r="AO93" i="2"/>
  <c r="AN93" i="2"/>
  <c r="AM93" i="2"/>
  <c r="AL93" i="2"/>
  <c r="AK93" i="2"/>
  <c r="AP90" i="2"/>
  <c r="AO90" i="2"/>
  <c r="AN90" i="2"/>
  <c r="AM90" i="2"/>
  <c r="AL90" i="2"/>
  <c r="AK90" i="2"/>
  <c r="AJ90" i="2"/>
  <c r="AP89" i="2"/>
  <c r="AO89" i="2"/>
  <c r="AN89" i="2"/>
  <c r="AM89" i="2"/>
  <c r="AL89" i="2"/>
  <c r="AK89" i="2"/>
  <c r="AJ89" i="2"/>
  <c r="AP88" i="2"/>
  <c r="AO88" i="2"/>
  <c r="AN88" i="2"/>
  <c r="AM88" i="2"/>
  <c r="AL88" i="2"/>
  <c r="AK88" i="2"/>
  <c r="AJ88" i="2"/>
  <c r="AP87" i="2"/>
  <c r="AO87" i="2"/>
  <c r="AN87" i="2"/>
  <c r="AM87" i="2"/>
  <c r="AL87" i="2"/>
  <c r="AK87" i="2"/>
  <c r="AJ87" i="2"/>
  <c r="AP86" i="2"/>
  <c r="AO86" i="2"/>
  <c r="AN86" i="2"/>
  <c r="AM86" i="2"/>
  <c r="AL86" i="2"/>
  <c r="AK86" i="2"/>
  <c r="AJ86" i="2"/>
  <c r="AP85" i="2"/>
  <c r="AO85" i="2"/>
  <c r="AN85" i="2"/>
  <c r="AM85" i="2"/>
  <c r="AL85" i="2"/>
  <c r="AK85" i="2"/>
  <c r="J84" i="2"/>
  <c r="I84" i="2"/>
  <c r="H84" i="2"/>
  <c r="G84" i="2"/>
  <c r="F84" i="2"/>
  <c r="E84" i="2"/>
  <c r="D84" i="2"/>
  <c r="K84" i="2" s="1"/>
  <c r="J83" i="2"/>
  <c r="I83" i="2"/>
  <c r="H83" i="2"/>
  <c r="G83" i="2"/>
  <c r="F83" i="2"/>
  <c r="E83" i="2"/>
  <c r="D83" i="2"/>
  <c r="K83" i="2" s="1"/>
  <c r="J82" i="2"/>
  <c r="I82" i="2"/>
  <c r="H82" i="2"/>
  <c r="G82" i="2"/>
  <c r="F82" i="2"/>
  <c r="E82" i="2"/>
  <c r="D82" i="2"/>
  <c r="K82" i="2" s="1"/>
  <c r="J81" i="2"/>
  <c r="I81" i="2"/>
  <c r="H81" i="2"/>
  <c r="G81" i="2"/>
  <c r="F81" i="2"/>
  <c r="E81" i="2"/>
  <c r="D81" i="2"/>
  <c r="K81" i="2" s="1"/>
  <c r="J80" i="2"/>
  <c r="I80" i="2"/>
  <c r="H80" i="2"/>
  <c r="G80" i="2"/>
  <c r="F80" i="2"/>
  <c r="E80" i="2"/>
  <c r="D80" i="2"/>
  <c r="K80" i="2" s="1"/>
  <c r="J79" i="2"/>
  <c r="I79" i="2"/>
  <c r="H79" i="2"/>
  <c r="G79" i="2"/>
  <c r="F79" i="2"/>
  <c r="E79" i="2"/>
  <c r="AY88" i="2"/>
  <c r="AX88" i="2"/>
  <c r="AW88" i="2"/>
  <c r="AV88" i="2"/>
  <c r="AU88" i="2"/>
  <c r="AT88" i="2"/>
  <c r="AS88" i="2"/>
  <c r="AY87" i="2"/>
  <c r="AX87" i="2"/>
  <c r="AW87" i="2"/>
  <c r="AV87" i="2"/>
  <c r="AU87" i="2"/>
  <c r="AT87" i="2"/>
  <c r="AS87" i="2"/>
  <c r="AY86" i="2"/>
  <c r="AX86" i="2"/>
  <c r="AW86" i="2"/>
  <c r="AV86" i="2"/>
  <c r="AU86" i="2"/>
  <c r="AT86" i="2"/>
  <c r="AS86" i="2"/>
  <c r="AY85" i="2"/>
  <c r="AX85" i="2"/>
  <c r="AW85" i="2"/>
  <c r="AV85" i="2"/>
  <c r="AU85" i="2"/>
  <c r="AT85" i="2"/>
  <c r="AS85" i="2"/>
  <c r="AY84" i="2"/>
  <c r="AX84" i="2"/>
  <c r="AW84" i="2"/>
  <c r="AV84" i="2"/>
  <c r="AU84" i="2"/>
  <c r="AT84" i="2"/>
  <c r="AS84" i="2"/>
  <c r="AY83" i="2"/>
  <c r="AX83" i="2"/>
  <c r="AW83" i="2"/>
  <c r="AV83" i="2"/>
  <c r="AU83" i="2"/>
  <c r="AT83" i="2"/>
  <c r="AS83" i="2"/>
  <c r="AY82" i="2"/>
  <c r="AX82" i="2"/>
  <c r="AW82" i="2"/>
  <c r="AV82" i="2"/>
  <c r="AU82" i="2"/>
  <c r="AT82" i="2"/>
  <c r="AS82" i="2"/>
  <c r="AY81" i="2"/>
  <c r="AX81" i="2"/>
  <c r="AW81" i="2"/>
  <c r="AV81" i="2"/>
  <c r="AU81" i="2"/>
  <c r="AT81" i="2"/>
  <c r="AS81" i="2"/>
  <c r="AY80" i="2"/>
  <c r="AX80" i="2"/>
  <c r="AW80" i="2"/>
  <c r="AV80" i="2"/>
  <c r="AU80" i="2"/>
  <c r="AT80" i="2"/>
  <c r="AS80" i="2"/>
  <c r="AY79" i="2"/>
  <c r="AX79" i="2"/>
  <c r="AW79" i="2"/>
  <c r="AV79" i="2"/>
  <c r="AU79" i="2"/>
  <c r="AT79" i="2"/>
  <c r="AS79" i="2"/>
  <c r="AY78" i="2"/>
  <c r="AX78" i="2"/>
  <c r="AW78" i="2"/>
  <c r="AV78" i="2"/>
  <c r="AU78" i="2"/>
  <c r="AT78" i="2"/>
  <c r="AS78" i="2"/>
  <c r="AY77" i="2"/>
  <c r="AX77" i="2"/>
  <c r="AW77" i="2"/>
  <c r="AV77" i="2"/>
  <c r="AU77" i="2"/>
  <c r="AT77" i="2"/>
  <c r="AP82" i="2"/>
  <c r="AO82" i="2"/>
  <c r="AN82" i="2"/>
  <c r="AM82" i="2"/>
  <c r="AL82" i="2"/>
  <c r="AK82" i="2"/>
  <c r="AJ82" i="2"/>
  <c r="AP81" i="2"/>
  <c r="AO81" i="2"/>
  <c r="AN81" i="2"/>
  <c r="AM81" i="2"/>
  <c r="AL81" i="2"/>
  <c r="AK81" i="2"/>
  <c r="AJ81" i="2"/>
  <c r="AP80" i="2"/>
  <c r="AO80" i="2"/>
  <c r="AN80" i="2"/>
  <c r="AM80" i="2"/>
  <c r="AL80" i="2"/>
  <c r="AK80" i="2"/>
  <c r="AJ80" i="2"/>
  <c r="AP79" i="2"/>
  <c r="AO79" i="2"/>
  <c r="AN79" i="2"/>
  <c r="AM79" i="2"/>
  <c r="AL79" i="2"/>
  <c r="AK79" i="2"/>
  <c r="AJ79" i="2"/>
  <c r="AP78" i="2"/>
  <c r="AO78" i="2"/>
  <c r="AN78" i="2"/>
  <c r="AM78" i="2"/>
  <c r="AL78" i="2"/>
  <c r="AK78" i="2"/>
  <c r="AJ78" i="2"/>
  <c r="AP77" i="2"/>
  <c r="AO77" i="2"/>
  <c r="AN77" i="2"/>
  <c r="AM77" i="2"/>
  <c r="AL77" i="2"/>
  <c r="AK77" i="2"/>
  <c r="J78" i="2"/>
  <c r="I78" i="2"/>
  <c r="H78" i="2"/>
  <c r="G78" i="2"/>
  <c r="F78" i="2"/>
  <c r="E78" i="2"/>
  <c r="D78" i="2"/>
  <c r="K78" i="2" s="1"/>
  <c r="J77" i="2"/>
  <c r="I77" i="2"/>
  <c r="H77" i="2"/>
  <c r="G77" i="2"/>
  <c r="F77" i="2"/>
  <c r="E77" i="2"/>
  <c r="D77" i="2"/>
  <c r="K77" i="2" s="1"/>
  <c r="J76" i="2"/>
  <c r="I76" i="2"/>
  <c r="H76" i="2"/>
  <c r="G76" i="2"/>
  <c r="F76" i="2"/>
  <c r="E76" i="2"/>
  <c r="D76" i="2"/>
  <c r="K76" i="2" s="1"/>
  <c r="J75" i="2"/>
  <c r="I75" i="2"/>
  <c r="H75" i="2"/>
  <c r="G75" i="2"/>
  <c r="F75" i="2"/>
  <c r="E75" i="2"/>
  <c r="D75" i="2"/>
  <c r="K75" i="2" s="1"/>
  <c r="J74" i="2"/>
  <c r="I74" i="2"/>
  <c r="H74" i="2"/>
  <c r="G74" i="2"/>
  <c r="F74" i="2"/>
  <c r="E74" i="2"/>
  <c r="D74" i="2"/>
  <c r="K74" i="2" s="1"/>
  <c r="J73" i="2"/>
  <c r="I73" i="2"/>
  <c r="H73" i="2"/>
  <c r="G73" i="2"/>
  <c r="F73" i="2"/>
  <c r="E73" i="2"/>
  <c r="AP74" i="2"/>
  <c r="AO74" i="2"/>
  <c r="AN74" i="2"/>
  <c r="AM74" i="2"/>
  <c r="AL74" i="2"/>
  <c r="AK74" i="2"/>
  <c r="AJ74" i="2"/>
  <c r="AP73" i="2"/>
  <c r="AO73" i="2"/>
  <c r="AN73" i="2"/>
  <c r="AM73" i="2"/>
  <c r="AL73" i="2"/>
  <c r="AK73" i="2"/>
  <c r="AJ73" i="2"/>
  <c r="AP72" i="2"/>
  <c r="AO72" i="2"/>
  <c r="AN72" i="2"/>
  <c r="AM72" i="2"/>
  <c r="AL72" i="2"/>
  <c r="AK72" i="2"/>
  <c r="AJ72" i="2"/>
  <c r="AP71" i="2"/>
  <c r="AO71" i="2"/>
  <c r="AN71" i="2"/>
  <c r="AM71" i="2"/>
  <c r="AL71" i="2"/>
  <c r="AK71" i="2"/>
  <c r="AJ71" i="2"/>
  <c r="AP70" i="2"/>
  <c r="AO70" i="2"/>
  <c r="AN70" i="2"/>
  <c r="AM70" i="2"/>
  <c r="AL70" i="2"/>
  <c r="AK70" i="2"/>
  <c r="AJ70" i="2"/>
  <c r="AP69" i="2"/>
  <c r="AO69" i="2"/>
  <c r="AN69" i="2"/>
  <c r="AM69" i="2"/>
  <c r="AL69" i="2"/>
  <c r="AK69" i="2"/>
  <c r="J72" i="2"/>
  <c r="I72" i="2"/>
  <c r="H72" i="2"/>
  <c r="G72" i="2"/>
  <c r="F72" i="2"/>
  <c r="E72" i="2"/>
  <c r="D72" i="2"/>
  <c r="K72" i="2" s="1"/>
  <c r="J71" i="2"/>
  <c r="I71" i="2"/>
  <c r="H71" i="2"/>
  <c r="G71" i="2"/>
  <c r="F71" i="2"/>
  <c r="E71" i="2"/>
  <c r="D71" i="2"/>
  <c r="K71" i="2" s="1"/>
  <c r="J70" i="2"/>
  <c r="I70" i="2"/>
  <c r="H70" i="2"/>
  <c r="G70" i="2"/>
  <c r="F70" i="2"/>
  <c r="E70" i="2"/>
  <c r="D70" i="2"/>
  <c r="K70" i="2" s="1"/>
  <c r="J69" i="2"/>
  <c r="I69" i="2"/>
  <c r="H69" i="2"/>
  <c r="G69" i="2"/>
  <c r="F69" i="2"/>
  <c r="E69" i="2"/>
  <c r="D69" i="2"/>
  <c r="K69" i="2" s="1"/>
  <c r="J68" i="2"/>
  <c r="I68" i="2"/>
  <c r="H68" i="2"/>
  <c r="G68" i="2"/>
  <c r="F68" i="2"/>
  <c r="E68" i="2"/>
  <c r="D68" i="2"/>
  <c r="K68" i="2" s="1"/>
  <c r="J67" i="2"/>
  <c r="I67" i="2"/>
  <c r="H67" i="2"/>
  <c r="G67" i="2"/>
  <c r="F67" i="2"/>
  <c r="E67" i="2"/>
  <c r="AY72" i="2"/>
  <c r="AX72" i="2"/>
  <c r="AW72" i="2"/>
  <c r="AV72" i="2"/>
  <c r="AU72" i="2"/>
  <c r="AT72" i="2"/>
  <c r="AS72" i="2"/>
  <c r="AY71" i="2"/>
  <c r="AX71" i="2"/>
  <c r="AW71" i="2"/>
  <c r="AV71" i="2"/>
  <c r="AU71" i="2"/>
  <c r="AT71" i="2"/>
  <c r="AS71" i="2"/>
  <c r="AY70" i="2"/>
  <c r="AX70" i="2"/>
  <c r="AW70" i="2"/>
  <c r="AV70" i="2"/>
  <c r="AU70" i="2"/>
  <c r="AT70" i="2"/>
  <c r="AS70" i="2"/>
  <c r="AY69" i="2"/>
  <c r="AX69" i="2"/>
  <c r="AW69" i="2"/>
  <c r="AV69" i="2"/>
  <c r="AU69" i="2"/>
  <c r="AT69" i="2"/>
  <c r="AS69" i="2"/>
  <c r="AY68" i="2"/>
  <c r="AX68" i="2"/>
  <c r="AW68" i="2"/>
  <c r="AV68" i="2"/>
  <c r="AU68" i="2"/>
  <c r="AT68" i="2"/>
  <c r="AS68" i="2"/>
  <c r="AY67" i="2"/>
  <c r="AX67" i="2"/>
  <c r="AW67" i="2"/>
  <c r="AV67" i="2"/>
  <c r="AU67" i="2"/>
  <c r="AT67" i="2"/>
  <c r="AS67" i="2"/>
  <c r="AY66" i="2"/>
  <c r="AX66" i="2"/>
  <c r="AW66" i="2"/>
  <c r="AV66" i="2"/>
  <c r="AU66" i="2"/>
  <c r="AT66" i="2"/>
  <c r="AS66" i="2"/>
  <c r="AY65" i="2"/>
  <c r="AX65" i="2"/>
  <c r="AW65" i="2"/>
  <c r="AV65" i="2"/>
  <c r="AU65" i="2"/>
  <c r="AT65" i="2"/>
  <c r="AS65" i="2"/>
  <c r="AY64" i="2"/>
  <c r="AX64" i="2"/>
  <c r="AW64" i="2"/>
  <c r="AV64" i="2"/>
  <c r="AU64" i="2"/>
  <c r="AT64" i="2"/>
  <c r="AS64" i="2"/>
  <c r="AY63" i="2"/>
  <c r="AX63" i="2"/>
  <c r="AW63" i="2"/>
  <c r="AV63" i="2"/>
  <c r="AU63" i="2"/>
  <c r="AT63" i="2"/>
  <c r="AS63" i="2"/>
  <c r="AY62" i="2"/>
  <c r="AX62" i="2"/>
  <c r="AW62" i="2"/>
  <c r="AV62" i="2"/>
  <c r="AU62" i="2"/>
  <c r="AT62" i="2"/>
  <c r="AS62" i="2"/>
  <c r="AY61" i="2"/>
  <c r="AX61" i="2"/>
  <c r="AW61" i="2"/>
  <c r="AV61" i="2"/>
  <c r="AU61" i="2"/>
  <c r="AT61" i="2"/>
  <c r="AP66" i="2"/>
  <c r="AO66" i="2"/>
  <c r="AN66" i="2"/>
  <c r="AM66" i="2"/>
  <c r="AL66" i="2"/>
  <c r="AK66" i="2"/>
  <c r="AJ66" i="2"/>
  <c r="AP65" i="2"/>
  <c r="AO65" i="2"/>
  <c r="AN65" i="2"/>
  <c r="AM65" i="2"/>
  <c r="AL65" i="2"/>
  <c r="AK65" i="2"/>
  <c r="AJ65" i="2"/>
  <c r="AP64" i="2"/>
  <c r="AO64" i="2"/>
  <c r="AN64" i="2"/>
  <c r="AM64" i="2"/>
  <c r="AL64" i="2"/>
  <c r="AK64" i="2"/>
  <c r="AJ64" i="2"/>
  <c r="AP63" i="2"/>
  <c r="AO63" i="2"/>
  <c r="AN63" i="2"/>
  <c r="AM63" i="2"/>
  <c r="AL63" i="2"/>
  <c r="AK63" i="2"/>
  <c r="AJ63" i="2"/>
  <c r="AP62" i="2"/>
  <c r="AO62" i="2"/>
  <c r="AN62" i="2"/>
  <c r="AM62" i="2"/>
  <c r="AL62" i="2"/>
  <c r="AK62" i="2"/>
  <c r="AJ62" i="2"/>
  <c r="AP61" i="2"/>
  <c r="AO61" i="2"/>
  <c r="AN61" i="2"/>
  <c r="AM61" i="2"/>
  <c r="AL61" i="2"/>
  <c r="AK61" i="2"/>
  <c r="J66" i="2"/>
  <c r="I66" i="2"/>
  <c r="H66" i="2"/>
  <c r="G66" i="2"/>
  <c r="F66" i="2"/>
  <c r="E66" i="2"/>
  <c r="D66" i="2"/>
  <c r="K66" i="2" s="1"/>
  <c r="J65" i="2"/>
  <c r="I65" i="2"/>
  <c r="H65" i="2"/>
  <c r="G65" i="2"/>
  <c r="F65" i="2"/>
  <c r="E65" i="2"/>
  <c r="D65" i="2"/>
  <c r="K65" i="2" s="1"/>
  <c r="J64" i="2"/>
  <c r="I64" i="2"/>
  <c r="H64" i="2"/>
  <c r="G64" i="2"/>
  <c r="F64" i="2"/>
  <c r="E64" i="2"/>
  <c r="D64" i="2"/>
  <c r="K64" i="2" s="1"/>
  <c r="J63" i="2"/>
  <c r="I63" i="2"/>
  <c r="H63" i="2"/>
  <c r="G63" i="2"/>
  <c r="F63" i="2"/>
  <c r="E63" i="2"/>
  <c r="D63" i="2"/>
  <c r="K63" i="2" s="1"/>
  <c r="J62" i="2"/>
  <c r="I62" i="2"/>
  <c r="H62" i="2"/>
  <c r="G62" i="2"/>
  <c r="F62" i="2"/>
  <c r="E62" i="2"/>
  <c r="D62" i="2"/>
  <c r="K62" i="2" s="1"/>
  <c r="J61" i="2"/>
  <c r="I61" i="2"/>
  <c r="H61" i="2"/>
  <c r="G61" i="2"/>
  <c r="F61" i="2"/>
  <c r="E61" i="2"/>
  <c r="J60" i="2"/>
  <c r="I60" i="2"/>
  <c r="H60" i="2"/>
  <c r="G60" i="2"/>
  <c r="F60" i="2"/>
  <c r="E60" i="2"/>
  <c r="D60" i="2"/>
  <c r="K60" i="2" s="1"/>
  <c r="J59" i="2"/>
  <c r="I59" i="2"/>
  <c r="H59" i="2"/>
  <c r="G59" i="2"/>
  <c r="F59" i="2"/>
  <c r="E59" i="2"/>
  <c r="D59" i="2"/>
  <c r="K59" i="2" s="1"/>
  <c r="J58" i="2"/>
  <c r="I58" i="2"/>
  <c r="H58" i="2"/>
  <c r="G58" i="2"/>
  <c r="F58" i="2"/>
  <c r="E58" i="2"/>
  <c r="D58" i="2"/>
  <c r="K58" i="2" s="1"/>
  <c r="J57" i="2"/>
  <c r="I57" i="2"/>
  <c r="H57" i="2"/>
  <c r="G57" i="2"/>
  <c r="F57" i="2"/>
  <c r="E57" i="2"/>
  <c r="D57" i="2"/>
  <c r="K57" i="2" s="1"/>
  <c r="J56" i="2"/>
  <c r="I56" i="2"/>
  <c r="H56" i="2"/>
  <c r="G56" i="2"/>
  <c r="F56" i="2"/>
  <c r="E56" i="2"/>
  <c r="D56" i="2"/>
  <c r="K56" i="2" s="1"/>
  <c r="J55" i="2"/>
  <c r="I55" i="2"/>
  <c r="H55" i="2"/>
  <c r="G55" i="2"/>
  <c r="F55" i="2"/>
  <c r="E55" i="2"/>
  <c r="AP58" i="2"/>
  <c r="AO58" i="2"/>
  <c r="AN58" i="2"/>
  <c r="AM58" i="2"/>
  <c r="AL58" i="2"/>
  <c r="AK58" i="2"/>
  <c r="AJ58" i="2"/>
  <c r="AP57" i="2"/>
  <c r="AO57" i="2"/>
  <c r="AN57" i="2"/>
  <c r="AM57" i="2"/>
  <c r="AL57" i="2"/>
  <c r="AK57" i="2"/>
  <c r="AJ57" i="2"/>
  <c r="AP56" i="2"/>
  <c r="AO56" i="2"/>
  <c r="AN56" i="2"/>
  <c r="AM56" i="2"/>
  <c r="AL56" i="2"/>
  <c r="AK56" i="2"/>
  <c r="AJ56" i="2"/>
  <c r="AP55" i="2"/>
  <c r="AO55" i="2"/>
  <c r="AN55" i="2"/>
  <c r="AM55" i="2"/>
  <c r="AL55" i="2"/>
  <c r="AK55" i="2"/>
  <c r="AJ55" i="2"/>
  <c r="AP54" i="2"/>
  <c r="AO54" i="2"/>
  <c r="AN54" i="2"/>
  <c r="AM54" i="2"/>
  <c r="AL54" i="2"/>
  <c r="AK54" i="2"/>
  <c r="AJ54" i="2"/>
  <c r="AP53" i="2"/>
  <c r="AO53" i="2"/>
  <c r="AN53" i="2"/>
  <c r="AM53" i="2"/>
  <c r="AL53" i="2"/>
  <c r="AK53" i="2"/>
  <c r="J54" i="2"/>
  <c r="I54" i="2"/>
  <c r="H54" i="2"/>
  <c r="G54" i="2"/>
  <c r="F54" i="2"/>
  <c r="E54" i="2"/>
  <c r="D54" i="2"/>
  <c r="K54" i="2" s="1"/>
  <c r="J53" i="2"/>
  <c r="I53" i="2"/>
  <c r="H53" i="2"/>
  <c r="G53" i="2"/>
  <c r="F53" i="2"/>
  <c r="E53" i="2"/>
  <c r="D53" i="2"/>
  <c r="K53" i="2" s="1"/>
  <c r="J52" i="2"/>
  <c r="I52" i="2"/>
  <c r="H52" i="2"/>
  <c r="G52" i="2"/>
  <c r="F52" i="2"/>
  <c r="E52" i="2"/>
  <c r="D52" i="2"/>
  <c r="K52" i="2" s="1"/>
  <c r="J51" i="2"/>
  <c r="I51" i="2"/>
  <c r="H51" i="2"/>
  <c r="G51" i="2"/>
  <c r="F51" i="2"/>
  <c r="E51" i="2"/>
  <c r="D51" i="2"/>
  <c r="K51" i="2" s="1"/>
  <c r="J50" i="2"/>
  <c r="I50" i="2"/>
  <c r="H50" i="2"/>
  <c r="G50" i="2"/>
  <c r="F50" i="2"/>
  <c r="E50" i="2"/>
  <c r="D50" i="2"/>
  <c r="K50" i="2" s="1"/>
  <c r="J49" i="2"/>
  <c r="I49" i="2"/>
  <c r="H49" i="2"/>
  <c r="G49" i="2"/>
  <c r="F49" i="2"/>
  <c r="E49" i="2"/>
  <c r="AY56" i="2"/>
  <c r="AX56" i="2"/>
  <c r="AW56" i="2"/>
  <c r="AV56" i="2"/>
  <c r="AU56" i="2"/>
  <c r="AT56" i="2"/>
  <c r="AS56" i="2"/>
  <c r="AY55" i="2"/>
  <c r="AX55" i="2"/>
  <c r="AW55" i="2"/>
  <c r="AV55" i="2"/>
  <c r="AU55" i="2"/>
  <c r="AT55" i="2"/>
  <c r="AS55" i="2"/>
  <c r="AY54" i="2"/>
  <c r="AX54" i="2"/>
  <c r="AW54" i="2"/>
  <c r="AV54" i="2"/>
  <c r="AU54" i="2"/>
  <c r="AT54" i="2"/>
  <c r="AS54" i="2"/>
  <c r="AY53" i="2"/>
  <c r="AX53" i="2"/>
  <c r="AW53" i="2"/>
  <c r="AV53" i="2"/>
  <c r="AU53" i="2"/>
  <c r="AT53" i="2"/>
  <c r="AS53" i="2"/>
  <c r="AY52" i="2"/>
  <c r="AX52" i="2"/>
  <c r="AW52" i="2"/>
  <c r="AV52" i="2"/>
  <c r="AU52" i="2"/>
  <c r="AT52" i="2"/>
  <c r="AS52" i="2"/>
  <c r="AY51" i="2"/>
  <c r="AX51" i="2"/>
  <c r="AW51" i="2"/>
  <c r="AV51" i="2"/>
  <c r="AU51" i="2"/>
  <c r="AT51" i="2"/>
  <c r="AS51" i="2"/>
  <c r="AY50" i="2"/>
  <c r="AX50" i="2"/>
  <c r="AW50" i="2"/>
  <c r="AV50" i="2"/>
  <c r="AU50" i="2"/>
  <c r="AT50" i="2"/>
  <c r="AS50" i="2"/>
  <c r="AY49" i="2"/>
  <c r="AX49" i="2"/>
  <c r="AW49" i="2"/>
  <c r="AV49" i="2"/>
  <c r="AU49" i="2"/>
  <c r="AT49" i="2"/>
  <c r="AS49" i="2"/>
  <c r="AY48" i="2"/>
  <c r="AX48" i="2"/>
  <c r="AW48" i="2"/>
  <c r="AV48" i="2"/>
  <c r="AU48" i="2"/>
  <c r="AT48" i="2"/>
  <c r="AS48" i="2"/>
  <c r="AY47" i="2"/>
  <c r="AX47" i="2"/>
  <c r="AW47" i="2"/>
  <c r="AV47" i="2"/>
  <c r="AU47" i="2"/>
  <c r="AT47" i="2"/>
  <c r="AS47" i="2"/>
  <c r="AY46" i="2"/>
  <c r="AX46" i="2"/>
  <c r="AW46" i="2"/>
  <c r="AV46" i="2"/>
  <c r="AU46" i="2"/>
  <c r="AT46" i="2"/>
  <c r="AS46" i="2"/>
  <c r="AY45" i="2"/>
  <c r="AX45" i="2"/>
  <c r="AW45" i="2"/>
  <c r="AV45" i="2"/>
  <c r="AU45" i="2"/>
  <c r="AT45" i="2"/>
  <c r="AP50" i="2"/>
  <c r="AO50" i="2"/>
  <c r="AN50" i="2"/>
  <c r="AM50" i="2"/>
  <c r="AL50" i="2"/>
  <c r="AK50" i="2"/>
  <c r="AJ50" i="2"/>
  <c r="AP49" i="2"/>
  <c r="AO49" i="2"/>
  <c r="AN49" i="2"/>
  <c r="AM49" i="2"/>
  <c r="AL49" i="2"/>
  <c r="AK49" i="2"/>
  <c r="AJ49" i="2"/>
  <c r="AP48" i="2"/>
  <c r="AO48" i="2"/>
  <c r="AN48" i="2"/>
  <c r="AM48" i="2"/>
  <c r="AL48" i="2"/>
  <c r="AK48" i="2"/>
  <c r="AJ48" i="2"/>
  <c r="AP47" i="2"/>
  <c r="AO47" i="2"/>
  <c r="AN47" i="2"/>
  <c r="AM47" i="2"/>
  <c r="AL47" i="2"/>
  <c r="AK47" i="2"/>
  <c r="AJ47" i="2"/>
  <c r="AP46" i="2"/>
  <c r="AO46" i="2"/>
  <c r="AN46" i="2"/>
  <c r="AM46" i="2"/>
  <c r="AL46" i="2"/>
  <c r="AK46" i="2"/>
  <c r="AJ46" i="2"/>
  <c r="AP45" i="2"/>
  <c r="AO45" i="2"/>
  <c r="AN45" i="2"/>
  <c r="AM45" i="2"/>
  <c r="AL45" i="2"/>
  <c r="AK45" i="2"/>
  <c r="J48" i="2"/>
  <c r="I48" i="2"/>
  <c r="H48" i="2"/>
  <c r="G48" i="2"/>
  <c r="F48" i="2"/>
  <c r="E48" i="2"/>
  <c r="D48" i="2"/>
  <c r="K48" i="2" s="1"/>
  <c r="J47" i="2"/>
  <c r="I47" i="2"/>
  <c r="H47" i="2"/>
  <c r="G47" i="2"/>
  <c r="F47" i="2"/>
  <c r="E47" i="2"/>
  <c r="D47" i="2"/>
  <c r="K47" i="2" s="1"/>
  <c r="J46" i="2"/>
  <c r="I46" i="2"/>
  <c r="H46" i="2"/>
  <c r="G46" i="2"/>
  <c r="F46" i="2"/>
  <c r="E46" i="2"/>
  <c r="D46" i="2"/>
  <c r="K46" i="2" s="1"/>
  <c r="J45" i="2"/>
  <c r="I45" i="2"/>
  <c r="H45" i="2"/>
  <c r="G45" i="2"/>
  <c r="F45" i="2"/>
  <c r="E45" i="2"/>
  <c r="D45" i="2"/>
  <c r="K45" i="2" s="1"/>
  <c r="J44" i="2"/>
  <c r="I44" i="2"/>
  <c r="H44" i="2"/>
  <c r="G44" i="2"/>
  <c r="F44" i="2"/>
  <c r="E44" i="2"/>
  <c r="D44" i="2"/>
  <c r="K44" i="2" s="1"/>
  <c r="J43" i="2"/>
  <c r="I43" i="2"/>
  <c r="H43" i="2"/>
  <c r="G43" i="2"/>
  <c r="F43" i="2"/>
  <c r="E43" i="2"/>
  <c r="AP42" i="2"/>
  <c r="AO42" i="2"/>
  <c r="AN42" i="2"/>
  <c r="AM42" i="2"/>
  <c r="AL42" i="2"/>
  <c r="AK42" i="2"/>
  <c r="AJ42" i="2"/>
  <c r="AP41" i="2"/>
  <c r="AO41" i="2"/>
  <c r="AN41" i="2"/>
  <c r="AM41" i="2"/>
  <c r="AL41" i="2"/>
  <c r="AK41" i="2"/>
  <c r="AJ41" i="2"/>
  <c r="AP40" i="2"/>
  <c r="AO40" i="2"/>
  <c r="AN40" i="2"/>
  <c r="AM40" i="2"/>
  <c r="AL40" i="2"/>
  <c r="AK40" i="2"/>
  <c r="AJ40" i="2"/>
  <c r="AP39" i="2"/>
  <c r="AO39" i="2"/>
  <c r="AN39" i="2"/>
  <c r="AM39" i="2"/>
  <c r="AL39" i="2"/>
  <c r="AK39" i="2"/>
  <c r="AJ39" i="2"/>
  <c r="AP38" i="2"/>
  <c r="AO38" i="2"/>
  <c r="AN38" i="2"/>
  <c r="AM38" i="2"/>
  <c r="AL38" i="2"/>
  <c r="AK38" i="2"/>
  <c r="AJ38" i="2"/>
  <c r="AP37" i="2"/>
  <c r="AO37" i="2"/>
  <c r="AN37" i="2"/>
  <c r="AM37" i="2"/>
  <c r="AL37" i="2"/>
  <c r="AK37" i="2"/>
  <c r="J42" i="2"/>
  <c r="I42" i="2"/>
  <c r="H42" i="2"/>
  <c r="G42" i="2"/>
  <c r="F42" i="2"/>
  <c r="E42" i="2"/>
  <c r="D42" i="2"/>
  <c r="K42" i="2" s="1"/>
  <c r="J41" i="2"/>
  <c r="I41" i="2"/>
  <c r="H41" i="2"/>
  <c r="G41" i="2"/>
  <c r="F41" i="2"/>
  <c r="E41" i="2"/>
  <c r="D41" i="2"/>
  <c r="K41" i="2" s="1"/>
  <c r="J40" i="2"/>
  <c r="I40" i="2"/>
  <c r="H40" i="2"/>
  <c r="G40" i="2"/>
  <c r="F40" i="2"/>
  <c r="E40" i="2"/>
  <c r="D40" i="2"/>
  <c r="K40" i="2" s="1"/>
  <c r="J39" i="2"/>
  <c r="I39" i="2"/>
  <c r="H39" i="2"/>
  <c r="G39" i="2"/>
  <c r="F39" i="2"/>
  <c r="E39" i="2"/>
  <c r="D39" i="2"/>
  <c r="K39" i="2" s="1"/>
  <c r="J38" i="2"/>
  <c r="I38" i="2"/>
  <c r="H38" i="2"/>
  <c r="G38" i="2"/>
  <c r="F38" i="2"/>
  <c r="E38" i="2"/>
  <c r="D38" i="2"/>
  <c r="K38" i="2" s="1"/>
  <c r="J37" i="2"/>
  <c r="I37" i="2"/>
  <c r="H37" i="2"/>
  <c r="G37" i="2"/>
  <c r="F37" i="2"/>
  <c r="E37" i="2"/>
  <c r="J36" i="2"/>
  <c r="I36" i="2"/>
  <c r="H36" i="2"/>
  <c r="G36" i="2"/>
  <c r="F36" i="2"/>
  <c r="E36" i="2"/>
  <c r="D36" i="2"/>
  <c r="K36" i="2" s="1"/>
  <c r="J35" i="2"/>
  <c r="I35" i="2"/>
  <c r="H35" i="2"/>
  <c r="G35" i="2"/>
  <c r="F35" i="2"/>
  <c r="E35" i="2"/>
  <c r="D35" i="2"/>
  <c r="K35" i="2" s="1"/>
  <c r="J34" i="2"/>
  <c r="I34" i="2"/>
  <c r="H34" i="2"/>
  <c r="G34" i="2"/>
  <c r="F34" i="2"/>
  <c r="E34" i="2"/>
  <c r="D34" i="2"/>
  <c r="K34" i="2" s="1"/>
  <c r="J33" i="2"/>
  <c r="I33" i="2"/>
  <c r="H33" i="2"/>
  <c r="G33" i="2"/>
  <c r="F33" i="2"/>
  <c r="E33" i="2"/>
  <c r="D33" i="2"/>
  <c r="K33" i="2" s="1"/>
  <c r="J32" i="2"/>
  <c r="I32" i="2"/>
  <c r="H32" i="2"/>
  <c r="G32" i="2"/>
  <c r="F32" i="2"/>
  <c r="E32" i="2"/>
  <c r="D32" i="2"/>
  <c r="K32" i="2" s="1"/>
  <c r="J31" i="2"/>
  <c r="I31" i="2"/>
  <c r="H31" i="2"/>
  <c r="G31" i="2"/>
  <c r="F31" i="2"/>
  <c r="E31" i="2"/>
  <c r="AY40" i="2"/>
  <c r="AX40" i="2"/>
  <c r="AW40" i="2"/>
  <c r="AV40" i="2"/>
  <c r="AU40" i="2"/>
  <c r="AT40" i="2"/>
  <c r="AS40" i="2"/>
  <c r="AY39" i="2"/>
  <c r="AX39" i="2"/>
  <c r="AW39" i="2"/>
  <c r="AV39" i="2"/>
  <c r="AU39" i="2"/>
  <c r="AT39" i="2"/>
  <c r="AS39" i="2"/>
  <c r="AY38" i="2"/>
  <c r="AX38" i="2"/>
  <c r="AW38" i="2"/>
  <c r="AV38" i="2"/>
  <c r="AU38" i="2"/>
  <c r="AT38" i="2"/>
  <c r="AS38" i="2"/>
  <c r="AY37" i="2"/>
  <c r="AX37" i="2"/>
  <c r="AW37" i="2"/>
  <c r="AV37" i="2"/>
  <c r="AU37" i="2"/>
  <c r="AT37" i="2"/>
  <c r="AS37" i="2"/>
  <c r="AY36" i="2"/>
  <c r="AX36" i="2"/>
  <c r="AW36" i="2"/>
  <c r="AV36" i="2"/>
  <c r="AU36" i="2"/>
  <c r="AT36" i="2"/>
  <c r="AS36" i="2"/>
  <c r="AY35" i="2"/>
  <c r="AX35" i="2"/>
  <c r="AW35" i="2"/>
  <c r="AV35" i="2"/>
  <c r="AU35" i="2"/>
  <c r="AT35" i="2"/>
  <c r="AS35" i="2"/>
  <c r="AY34" i="2"/>
  <c r="AX34" i="2"/>
  <c r="AW34" i="2"/>
  <c r="AV34" i="2"/>
  <c r="AU34" i="2"/>
  <c r="AT34" i="2"/>
  <c r="AS34" i="2"/>
  <c r="AY33" i="2"/>
  <c r="AX33" i="2"/>
  <c r="AW33" i="2"/>
  <c r="AV33" i="2"/>
  <c r="AU33" i="2"/>
  <c r="AT33" i="2"/>
  <c r="AS33" i="2"/>
  <c r="AY32" i="2"/>
  <c r="AX32" i="2"/>
  <c r="AW32" i="2"/>
  <c r="AV32" i="2"/>
  <c r="AU32" i="2"/>
  <c r="AT32" i="2"/>
  <c r="AS32" i="2"/>
  <c r="AY31" i="2"/>
  <c r="AX31" i="2"/>
  <c r="AW31" i="2"/>
  <c r="AV31" i="2"/>
  <c r="AU31" i="2"/>
  <c r="AT31" i="2"/>
  <c r="AS31" i="2"/>
  <c r="AY30" i="2"/>
  <c r="AX30" i="2"/>
  <c r="AW30" i="2"/>
  <c r="AV30" i="2"/>
  <c r="AU30" i="2"/>
  <c r="AT30" i="2"/>
  <c r="AS30" i="2"/>
  <c r="AY29" i="2"/>
  <c r="AX29" i="2"/>
  <c r="AW29" i="2"/>
  <c r="AV29" i="2"/>
  <c r="AU29" i="2"/>
  <c r="AT29" i="2"/>
  <c r="AP34" i="2"/>
  <c r="AO34" i="2"/>
  <c r="AN34" i="2"/>
  <c r="AM34" i="2"/>
  <c r="AL34" i="2"/>
  <c r="AK34" i="2"/>
  <c r="AJ34" i="2"/>
  <c r="AP33" i="2"/>
  <c r="AO33" i="2"/>
  <c r="AN33" i="2"/>
  <c r="AM33" i="2"/>
  <c r="AL33" i="2"/>
  <c r="AK33" i="2"/>
  <c r="AJ33" i="2"/>
  <c r="AP32" i="2"/>
  <c r="AO32" i="2"/>
  <c r="AN32" i="2"/>
  <c r="AM32" i="2"/>
  <c r="AL32" i="2"/>
  <c r="AK32" i="2"/>
  <c r="AJ32" i="2"/>
  <c r="AP31" i="2"/>
  <c r="AO31" i="2"/>
  <c r="AN31" i="2"/>
  <c r="AM31" i="2"/>
  <c r="AL31" i="2"/>
  <c r="AK31" i="2"/>
  <c r="AJ31" i="2"/>
  <c r="AP30" i="2"/>
  <c r="AO30" i="2"/>
  <c r="AN30" i="2"/>
  <c r="AM30" i="2"/>
  <c r="AL30" i="2"/>
  <c r="AK30" i="2"/>
  <c r="AJ30" i="2"/>
  <c r="AP29" i="2"/>
  <c r="AO29" i="2"/>
  <c r="AN29" i="2"/>
  <c r="AM29" i="2"/>
  <c r="AL29" i="2"/>
  <c r="AK29" i="2"/>
  <c r="J30" i="2"/>
  <c r="I30" i="2"/>
  <c r="H30" i="2"/>
  <c r="G30" i="2"/>
  <c r="F30" i="2"/>
  <c r="E30" i="2"/>
  <c r="D30" i="2"/>
  <c r="K30" i="2" s="1"/>
  <c r="J29" i="2"/>
  <c r="I29" i="2"/>
  <c r="H29" i="2"/>
  <c r="G29" i="2"/>
  <c r="F29" i="2"/>
  <c r="E29" i="2"/>
  <c r="D29" i="2"/>
  <c r="K29" i="2" s="1"/>
  <c r="J28" i="2"/>
  <c r="I28" i="2"/>
  <c r="H28" i="2"/>
  <c r="G28" i="2"/>
  <c r="F28" i="2"/>
  <c r="E28" i="2"/>
  <c r="D28" i="2"/>
  <c r="K28" i="2" s="1"/>
  <c r="J27" i="2"/>
  <c r="I27" i="2"/>
  <c r="H27" i="2"/>
  <c r="G27" i="2"/>
  <c r="F27" i="2"/>
  <c r="E27" i="2"/>
  <c r="D27" i="2"/>
  <c r="K27" i="2" s="1"/>
  <c r="J26" i="2"/>
  <c r="I26" i="2"/>
  <c r="H26" i="2"/>
  <c r="G26" i="2"/>
  <c r="F26" i="2"/>
  <c r="E26" i="2"/>
  <c r="D26" i="2"/>
  <c r="K26" i="2" s="1"/>
  <c r="J25" i="2"/>
  <c r="I25" i="2"/>
  <c r="H25" i="2"/>
  <c r="G25" i="2"/>
  <c r="F25" i="2"/>
  <c r="E25" i="2"/>
  <c r="AF27" i="2"/>
  <c r="AE27" i="2"/>
  <c r="AD27" i="2"/>
  <c r="AC27" i="2"/>
  <c r="AB27" i="2"/>
  <c r="AA27" i="2"/>
  <c r="Z27" i="2"/>
  <c r="AF26" i="2"/>
  <c r="AE26" i="2"/>
  <c r="AD26" i="2"/>
  <c r="AC26" i="2"/>
  <c r="AB26" i="2"/>
  <c r="AA26" i="2"/>
  <c r="Z26" i="2"/>
  <c r="AF25" i="2"/>
  <c r="AE25" i="2"/>
  <c r="AD25" i="2"/>
  <c r="AC25" i="2"/>
  <c r="AB25" i="2"/>
  <c r="AA25" i="2"/>
  <c r="Z25" i="2"/>
  <c r="AF24" i="2"/>
  <c r="AE24" i="2"/>
  <c r="AD24" i="2"/>
  <c r="AC24" i="2"/>
  <c r="AB24" i="2"/>
  <c r="AA24" i="2"/>
  <c r="Z24" i="2"/>
  <c r="AF23" i="2"/>
  <c r="AE23" i="2"/>
  <c r="AD23" i="2"/>
  <c r="AC23" i="2"/>
  <c r="AB23" i="2"/>
  <c r="AA23" i="2"/>
  <c r="Z23" i="2"/>
  <c r="AF22" i="2"/>
  <c r="AE22" i="2"/>
  <c r="AD22" i="2"/>
  <c r="AC22" i="2"/>
  <c r="AB22" i="2"/>
  <c r="AA22" i="2"/>
  <c r="AP26" i="2"/>
  <c r="AO26" i="2"/>
  <c r="AN26" i="2"/>
  <c r="AM26" i="2"/>
  <c r="AL26" i="2"/>
  <c r="AK26" i="2"/>
  <c r="AJ26" i="2"/>
  <c r="AP25" i="2"/>
  <c r="AO25" i="2"/>
  <c r="AN25" i="2"/>
  <c r="AM25" i="2"/>
  <c r="AL25" i="2"/>
  <c r="AK25" i="2"/>
  <c r="AJ25" i="2"/>
  <c r="AP24" i="2"/>
  <c r="AO24" i="2"/>
  <c r="AN24" i="2"/>
  <c r="AM24" i="2"/>
  <c r="AL24" i="2"/>
  <c r="AK24" i="2"/>
  <c r="AJ24" i="2"/>
  <c r="AP23" i="2"/>
  <c r="AO23" i="2"/>
  <c r="AN23" i="2"/>
  <c r="AM23" i="2"/>
  <c r="AL23" i="2"/>
  <c r="AK23" i="2"/>
  <c r="AJ23" i="2"/>
  <c r="AP22" i="2"/>
  <c r="AO22" i="2"/>
  <c r="AN22" i="2"/>
  <c r="AM22" i="2"/>
  <c r="AL22" i="2"/>
  <c r="AK22" i="2"/>
  <c r="AJ22" i="2"/>
  <c r="AP21" i="2"/>
  <c r="AO21" i="2"/>
  <c r="AN21" i="2"/>
  <c r="AM21" i="2"/>
  <c r="AL21" i="2"/>
  <c r="AK21" i="2"/>
  <c r="J24" i="2"/>
  <c r="I24" i="2"/>
  <c r="H24" i="2"/>
  <c r="G24" i="2"/>
  <c r="F24" i="2"/>
  <c r="E24" i="2"/>
  <c r="D24" i="2"/>
  <c r="K24" i="2" s="1"/>
  <c r="J23" i="2"/>
  <c r="I23" i="2"/>
  <c r="H23" i="2"/>
  <c r="G23" i="2"/>
  <c r="F23" i="2"/>
  <c r="E23" i="2"/>
  <c r="D23" i="2"/>
  <c r="K23" i="2" s="1"/>
  <c r="J22" i="2"/>
  <c r="I22" i="2"/>
  <c r="H22" i="2"/>
  <c r="G22" i="2"/>
  <c r="F22" i="2"/>
  <c r="E22" i="2"/>
  <c r="D22" i="2"/>
  <c r="K22" i="2" s="1"/>
  <c r="J21" i="2"/>
  <c r="I21" i="2"/>
  <c r="H21" i="2"/>
  <c r="G21" i="2"/>
  <c r="F21" i="2"/>
  <c r="E21" i="2"/>
  <c r="D21" i="2"/>
  <c r="K21" i="2" s="1"/>
  <c r="J20" i="2"/>
  <c r="I20" i="2"/>
  <c r="H20" i="2"/>
  <c r="G20" i="2"/>
  <c r="F20" i="2"/>
  <c r="E20" i="2"/>
  <c r="D20" i="2"/>
  <c r="K20" i="2" s="1"/>
  <c r="J19" i="2"/>
  <c r="I19" i="2"/>
  <c r="H19" i="2"/>
  <c r="G19" i="2"/>
  <c r="F19" i="2"/>
  <c r="E19" i="2"/>
  <c r="AY24" i="2"/>
  <c r="AX24" i="2"/>
  <c r="AW24" i="2"/>
  <c r="AV24" i="2"/>
  <c r="AU24" i="2"/>
  <c r="AT24" i="2"/>
  <c r="AS24" i="2"/>
  <c r="AY23" i="2"/>
  <c r="AX23" i="2"/>
  <c r="AW23" i="2"/>
  <c r="AV23" i="2"/>
  <c r="AU23" i="2"/>
  <c r="AT23" i="2"/>
  <c r="AS23" i="2"/>
  <c r="AY22" i="2"/>
  <c r="AX22" i="2"/>
  <c r="AW22" i="2"/>
  <c r="AV22" i="2"/>
  <c r="AU22" i="2"/>
  <c r="AT22" i="2"/>
  <c r="AS22" i="2"/>
  <c r="AY21" i="2"/>
  <c r="AX21" i="2"/>
  <c r="AW21" i="2"/>
  <c r="AV21" i="2"/>
  <c r="AU21" i="2"/>
  <c r="AT21" i="2"/>
  <c r="AS21" i="2"/>
  <c r="AY20" i="2"/>
  <c r="AX20" i="2"/>
  <c r="AW20" i="2"/>
  <c r="AV20" i="2"/>
  <c r="AU20" i="2"/>
  <c r="AT20" i="2"/>
  <c r="AS20" i="2"/>
  <c r="AY19" i="2"/>
  <c r="AX19" i="2"/>
  <c r="AW19" i="2"/>
  <c r="AV19" i="2"/>
  <c r="AU19" i="2"/>
  <c r="AT19" i="2"/>
  <c r="AS19" i="2"/>
  <c r="AY18" i="2"/>
  <c r="AX18" i="2"/>
  <c r="AW18" i="2"/>
  <c r="AV18" i="2"/>
  <c r="AU18" i="2"/>
  <c r="AT18" i="2"/>
  <c r="AS18" i="2"/>
  <c r="AY17" i="2"/>
  <c r="AX17" i="2"/>
  <c r="AW17" i="2"/>
  <c r="AV17" i="2"/>
  <c r="AU17" i="2"/>
  <c r="AT17" i="2"/>
  <c r="AS17" i="2"/>
  <c r="AY16" i="2"/>
  <c r="AX16" i="2"/>
  <c r="AW16" i="2"/>
  <c r="AV16" i="2"/>
  <c r="AU16" i="2"/>
  <c r="AT16" i="2"/>
  <c r="AS16" i="2"/>
  <c r="AY15" i="2"/>
  <c r="AX15" i="2"/>
  <c r="AW15" i="2"/>
  <c r="AV15" i="2"/>
  <c r="AU15" i="2"/>
  <c r="AT15" i="2"/>
  <c r="AS15" i="2"/>
  <c r="AY14" i="2"/>
  <c r="AX14" i="2"/>
  <c r="AW14" i="2"/>
  <c r="AV14" i="2"/>
  <c r="AU14" i="2"/>
  <c r="AT14" i="2"/>
  <c r="AS14" i="2"/>
  <c r="AY13" i="2"/>
  <c r="AX13" i="2"/>
  <c r="AW13" i="2"/>
  <c r="AV13" i="2"/>
  <c r="AU13" i="2"/>
  <c r="AT13" i="2"/>
  <c r="AP18" i="2"/>
  <c r="AO18" i="2"/>
  <c r="AN18" i="2"/>
  <c r="AM18" i="2"/>
  <c r="AL18" i="2"/>
  <c r="AK18" i="2"/>
  <c r="AJ18" i="2"/>
  <c r="AP17" i="2"/>
  <c r="AO17" i="2"/>
  <c r="AN17" i="2"/>
  <c r="AM17" i="2"/>
  <c r="AL17" i="2"/>
  <c r="AK17" i="2"/>
  <c r="AJ17" i="2"/>
  <c r="AP16" i="2"/>
  <c r="AO16" i="2"/>
  <c r="AN16" i="2"/>
  <c r="AM16" i="2"/>
  <c r="AL16" i="2"/>
  <c r="AK16" i="2"/>
  <c r="AJ16" i="2"/>
  <c r="AP15" i="2"/>
  <c r="AO15" i="2"/>
  <c r="AN15" i="2"/>
  <c r="AM15" i="2"/>
  <c r="AL15" i="2"/>
  <c r="AK15" i="2"/>
  <c r="AJ15" i="2"/>
  <c r="AP14" i="2"/>
  <c r="AO14" i="2"/>
  <c r="AN14" i="2"/>
  <c r="AM14" i="2"/>
  <c r="AL14" i="2"/>
  <c r="AK14" i="2"/>
  <c r="AJ14" i="2"/>
  <c r="AP13" i="2"/>
  <c r="AO13" i="2"/>
  <c r="AN13" i="2"/>
  <c r="AM13" i="2"/>
  <c r="AL13" i="2"/>
  <c r="AK13" i="2"/>
  <c r="AF18" i="2"/>
  <c r="AE18" i="2"/>
  <c r="AD18" i="2"/>
  <c r="AC18" i="2"/>
  <c r="AB18" i="2"/>
  <c r="AA18" i="2"/>
  <c r="Z18" i="2"/>
  <c r="AF17" i="2"/>
  <c r="AE17" i="2"/>
  <c r="AD17" i="2"/>
  <c r="AC17" i="2"/>
  <c r="AB17" i="2"/>
  <c r="AA17" i="2"/>
  <c r="Z17" i="2"/>
  <c r="AF16" i="2"/>
  <c r="AE16" i="2"/>
  <c r="AD16" i="2"/>
  <c r="AC16" i="2"/>
  <c r="AB16" i="2"/>
  <c r="AA16" i="2"/>
  <c r="Z16" i="2"/>
  <c r="AF15" i="2"/>
  <c r="AE15" i="2"/>
  <c r="AD15" i="2"/>
  <c r="AC15" i="2"/>
  <c r="AB15" i="2"/>
  <c r="AA15" i="2"/>
  <c r="Z15" i="2"/>
  <c r="AF14" i="2"/>
  <c r="AE14" i="2"/>
  <c r="AD14" i="2"/>
  <c r="AC14" i="2"/>
  <c r="AB14" i="2"/>
  <c r="AA14" i="2"/>
  <c r="Z14" i="2"/>
  <c r="AF13" i="2"/>
  <c r="AE13" i="2"/>
  <c r="AD13" i="2"/>
  <c r="AC13" i="2"/>
  <c r="AB13" i="2"/>
  <c r="AA13" i="2"/>
  <c r="V24" i="2"/>
  <c r="V23" i="2"/>
  <c r="V22" i="2"/>
  <c r="V21" i="2"/>
  <c r="V20" i="2"/>
  <c r="V19" i="2"/>
  <c r="V18" i="2"/>
  <c r="V17" i="2"/>
  <c r="V16" i="2"/>
  <c r="V15" i="2"/>
  <c r="V14" i="2"/>
  <c r="P27" i="2"/>
  <c r="O27" i="2"/>
  <c r="N27" i="2"/>
  <c r="S27" i="2" s="1"/>
  <c r="AJ20" i="1" s="1"/>
  <c r="P26" i="2"/>
  <c r="O26" i="2"/>
  <c r="N26" i="2"/>
  <c r="S26" i="2" s="1"/>
  <c r="AJ19" i="1" s="1"/>
  <c r="P25" i="2"/>
  <c r="O25" i="2"/>
  <c r="N25" i="2"/>
  <c r="S25" i="2" s="1"/>
  <c r="AJ18" i="1" s="1"/>
  <c r="P24" i="2"/>
  <c r="O24" i="2"/>
  <c r="N24" i="2"/>
  <c r="S24" i="2" s="1"/>
  <c r="AJ17" i="1" s="1"/>
  <c r="P23" i="2"/>
  <c r="O23" i="2"/>
  <c r="N23" i="2"/>
  <c r="S23" i="2" s="1"/>
  <c r="AJ16" i="1" s="1"/>
  <c r="P22" i="2"/>
  <c r="O22" i="2"/>
  <c r="N22" i="2"/>
  <c r="S22" i="2" s="1"/>
  <c r="AJ15" i="1" s="1"/>
  <c r="P21" i="2"/>
  <c r="O21" i="2"/>
  <c r="N21" i="2"/>
  <c r="S21" i="2" s="1"/>
  <c r="AJ14" i="1" s="1"/>
  <c r="P20" i="2"/>
  <c r="O20" i="2"/>
  <c r="N20" i="2"/>
  <c r="S20" i="2" s="1"/>
  <c r="AJ13" i="1" s="1"/>
  <c r="P19" i="2"/>
  <c r="O19" i="2"/>
  <c r="N19" i="2"/>
  <c r="S19" i="2" s="1"/>
  <c r="AJ12" i="1" s="1"/>
  <c r="P18" i="2"/>
  <c r="O18" i="2"/>
  <c r="N18" i="2"/>
  <c r="S18" i="2" s="1"/>
  <c r="AJ11" i="1" s="1"/>
  <c r="P17" i="2"/>
  <c r="O17" i="2"/>
  <c r="N17" i="2"/>
  <c r="S17" i="2" s="1"/>
  <c r="AJ10" i="1" s="1"/>
  <c r="P16" i="2"/>
  <c r="O16" i="2"/>
  <c r="N16" i="2"/>
  <c r="S16" i="2" s="1"/>
  <c r="AJ9" i="1" s="1"/>
  <c r="P15" i="2"/>
  <c r="O15" i="2"/>
  <c r="N15" i="2"/>
  <c r="S15" i="2" s="1"/>
  <c r="AJ8" i="1" s="1"/>
  <c r="P14" i="2"/>
  <c r="O14" i="2"/>
  <c r="N14" i="2"/>
  <c r="S14" i="2" s="1"/>
  <c r="AJ7" i="1" s="1"/>
  <c r="P13" i="2"/>
  <c r="O13" i="2"/>
  <c r="J18" i="2"/>
  <c r="I18" i="2"/>
  <c r="H18" i="2"/>
  <c r="G18" i="2"/>
  <c r="F18" i="2"/>
  <c r="E18" i="2"/>
  <c r="D18" i="2"/>
  <c r="K18" i="2" s="1"/>
  <c r="J17" i="2"/>
  <c r="I17" i="2"/>
  <c r="H17" i="2"/>
  <c r="G17" i="2"/>
  <c r="F17" i="2"/>
  <c r="E17" i="2"/>
  <c r="D17" i="2"/>
  <c r="K17" i="2" s="1"/>
  <c r="J16" i="2"/>
  <c r="I16" i="2"/>
  <c r="H16" i="2"/>
  <c r="G16" i="2"/>
  <c r="F16" i="2"/>
  <c r="E16" i="2"/>
  <c r="D16" i="2"/>
  <c r="K16" i="2" s="1"/>
  <c r="J15" i="2"/>
  <c r="I15" i="2"/>
  <c r="H15" i="2"/>
  <c r="G15" i="2"/>
  <c r="F15" i="2"/>
  <c r="E15" i="2"/>
  <c r="D15" i="2"/>
  <c r="K15" i="2" s="1"/>
  <c r="J14" i="2"/>
  <c r="I14" i="2"/>
  <c r="H14" i="2"/>
  <c r="G14" i="2"/>
  <c r="F14" i="2"/>
  <c r="E14" i="2"/>
  <c r="D14" i="2"/>
  <c r="K14" i="2" s="1"/>
  <c r="J13" i="2"/>
  <c r="J12" i="2" s="1"/>
  <c r="I13" i="2"/>
  <c r="I12" i="2" s="1"/>
  <c r="H13" i="2"/>
  <c r="H12" i="2" s="1"/>
  <c r="G13" i="2"/>
  <c r="G12" i="2" s="1"/>
  <c r="F13" i="2"/>
  <c r="F12" i="2" s="1"/>
  <c r="E13" i="2"/>
  <c r="E12" i="2" s="1"/>
  <c r="I194" i="6"/>
  <c r="H194" i="6"/>
  <c r="G194" i="6"/>
  <c r="F194" i="6"/>
  <c r="E194" i="6"/>
  <c r="D194" i="6"/>
  <c r="C194" i="6"/>
  <c r="I193" i="6"/>
  <c r="H193" i="6"/>
  <c r="G193" i="6"/>
  <c r="F193" i="6"/>
  <c r="E193" i="6"/>
  <c r="D193" i="6"/>
  <c r="C193" i="6"/>
  <c r="I192" i="6"/>
  <c r="H192" i="6"/>
  <c r="G192" i="6"/>
  <c r="F192" i="6"/>
  <c r="E192" i="6"/>
  <c r="D192" i="6"/>
  <c r="C192" i="6"/>
  <c r="I191" i="6"/>
  <c r="H191" i="6"/>
  <c r="G191" i="6"/>
  <c r="F191" i="6"/>
  <c r="E191" i="6"/>
  <c r="D191" i="6"/>
  <c r="C191" i="6"/>
  <c r="I190" i="6"/>
  <c r="H190" i="6"/>
  <c r="G190" i="6"/>
  <c r="F190" i="6"/>
  <c r="E190" i="6"/>
  <c r="D190" i="6"/>
  <c r="C190" i="6"/>
  <c r="I189" i="6"/>
  <c r="H189" i="6"/>
  <c r="G189" i="6"/>
  <c r="F189" i="6"/>
  <c r="E189" i="6"/>
  <c r="D189" i="6"/>
  <c r="C189" i="6"/>
  <c r="I188" i="6"/>
  <c r="H188" i="6"/>
  <c r="G188" i="6"/>
  <c r="F188" i="6"/>
  <c r="E188" i="6"/>
  <c r="D188" i="6"/>
  <c r="C188" i="6"/>
  <c r="I187" i="6"/>
  <c r="H187" i="6"/>
  <c r="G187" i="6"/>
  <c r="F187" i="6"/>
  <c r="E187" i="6"/>
  <c r="D187" i="6"/>
  <c r="C187" i="6"/>
  <c r="I186" i="6"/>
  <c r="H186" i="6"/>
  <c r="G186" i="6"/>
  <c r="F186" i="6"/>
  <c r="E186" i="6"/>
  <c r="D186" i="6"/>
  <c r="C186" i="6"/>
  <c r="I185" i="6"/>
  <c r="I182" i="6" s="1"/>
  <c r="H185" i="6"/>
  <c r="H182" i="6" s="1"/>
  <c r="G185" i="6"/>
  <c r="G182" i="6" s="1"/>
  <c r="F185" i="6"/>
  <c r="F182" i="6" s="1"/>
  <c r="E185" i="6"/>
  <c r="E182" i="6" s="1"/>
  <c r="D185" i="6"/>
  <c r="D182" i="6" s="1"/>
  <c r="C185" i="6"/>
  <c r="I184" i="6"/>
  <c r="H184" i="6"/>
  <c r="G184" i="6"/>
  <c r="F184" i="6"/>
  <c r="E184" i="6"/>
  <c r="D184" i="6"/>
  <c r="C184" i="6"/>
  <c r="I183" i="6"/>
  <c r="H183" i="6"/>
  <c r="G183" i="6"/>
  <c r="F183" i="6"/>
  <c r="E183" i="6"/>
  <c r="D183" i="6"/>
  <c r="I178" i="6"/>
  <c r="H178" i="6"/>
  <c r="G178" i="6"/>
  <c r="F178" i="6"/>
  <c r="E178" i="6"/>
  <c r="D178" i="6"/>
  <c r="C178" i="6"/>
  <c r="I177" i="6"/>
  <c r="H177" i="6"/>
  <c r="G177" i="6"/>
  <c r="F177" i="6"/>
  <c r="E177" i="6"/>
  <c r="D177" i="6"/>
  <c r="C177" i="6"/>
  <c r="I176" i="6"/>
  <c r="H176" i="6"/>
  <c r="G176" i="6"/>
  <c r="F176" i="6"/>
  <c r="E176" i="6"/>
  <c r="D176" i="6"/>
  <c r="C176" i="6"/>
  <c r="I175" i="6"/>
  <c r="H175" i="6"/>
  <c r="G175" i="6"/>
  <c r="F175" i="6"/>
  <c r="E175" i="6"/>
  <c r="D175" i="6"/>
  <c r="C175" i="6"/>
  <c r="I174" i="6"/>
  <c r="H174" i="6"/>
  <c r="G174" i="6"/>
  <c r="F174" i="6"/>
  <c r="E174" i="6"/>
  <c r="D174" i="6"/>
  <c r="C174" i="6"/>
  <c r="I173" i="6"/>
  <c r="H173" i="6"/>
  <c r="G173" i="6"/>
  <c r="F173" i="6"/>
  <c r="E173" i="6"/>
  <c r="D173" i="6"/>
  <c r="C173" i="6"/>
  <c r="I172" i="6"/>
  <c r="H172" i="6"/>
  <c r="G172" i="6"/>
  <c r="F172" i="6"/>
  <c r="E172" i="6"/>
  <c r="D172" i="6"/>
  <c r="C172" i="6"/>
  <c r="I171" i="6"/>
  <c r="H171" i="6"/>
  <c r="G171" i="6"/>
  <c r="F171" i="6"/>
  <c r="E171" i="6"/>
  <c r="D171" i="6"/>
  <c r="C171" i="6"/>
  <c r="I170" i="6"/>
  <c r="H170" i="6"/>
  <c r="G170" i="6"/>
  <c r="F170" i="6"/>
  <c r="E170" i="6"/>
  <c r="D170" i="6"/>
  <c r="C170" i="6"/>
  <c r="I169" i="6"/>
  <c r="I166" i="6" s="1"/>
  <c r="H169" i="6"/>
  <c r="H166" i="6" s="1"/>
  <c r="G169" i="6"/>
  <c r="G166" i="6" s="1"/>
  <c r="F169" i="6"/>
  <c r="F166" i="6" s="1"/>
  <c r="E169" i="6"/>
  <c r="E166" i="6" s="1"/>
  <c r="D169" i="6"/>
  <c r="D166" i="6" s="1"/>
  <c r="C169" i="6"/>
  <c r="I168" i="6"/>
  <c r="H168" i="6"/>
  <c r="G168" i="6"/>
  <c r="F168" i="6"/>
  <c r="E168" i="6"/>
  <c r="D168" i="6"/>
  <c r="C168" i="6"/>
  <c r="I167" i="6"/>
  <c r="H167" i="6"/>
  <c r="G167" i="6"/>
  <c r="F167" i="6"/>
  <c r="E167" i="6"/>
  <c r="D167" i="6"/>
  <c r="I162" i="6"/>
  <c r="H162" i="6"/>
  <c r="G162" i="6"/>
  <c r="F162" i="6"/>
  <c r="E162" i="6"/>
  <c r="D162" i="6"/>
  <c r="C162" i="6"/>
  <c r="I161" i="6"/>
  <c r="H161" i="6"/>
  <c r="G161" i="6"/>
  <c r="F161" i="6"/>
  <c r="E161" i="6"/>
  <c r="D161" i="6"/>
  <c r="C161" i="6"/>
  <c r="I160" i="6"/>
  <c r="H160" i="6"/>
  <c r="G160" i="6"/>
  <c r="F160" i="6"/>
  <c r="E160" i="6"/>
  <c r="D160" i="6"/>
  <c r="C160" i="6"/>
  <c r="I159" i="6"/>
  <c r="H159" i="6"/>
  <c r="G159" i="6"/>
  <c r="F159" i="6"/>
  <c r="E159" i="6"/>
  <c r="D159" i="6"/>
  <c r="C159" i="6"/>
  <c r="I158" i="6"/>
  <c r="H158" i="6"/>
  <c r="G158" i="6"/>
  <c r="F158" i="6"/>
  <c r="E158" i="6"/>
  <c r="D158" i="6"/>
  <c r="C158" i="6"/>
  <c r="I157" i="6"/>
  <c r="H157" i="6"/>
  <c r="G157" i="6"/>
  <c r="F157" i="6"/>
  <c r="E157" i="6"/>
  <c r="D157" i="6"/>
  <c r="C157" i="6"/>
  <c r="I156" i="6"/>
  <c r="H156" i="6"/>
  <c r="G156" i="6"/>
  <c r="F156" i="6"/>
  <c r="E156" i="6"/>
  <c r="D156" i="6"/>
  <c r="C156" i="6"/>
  <c r="I155" i="6"/>
  <c r="H155" i="6"/>
  <c r="G155" i="6"/>
  <c r="F155" i="6"/>
  <c r="E155" i="6"/>
  <c r="D155" i="6"/>
  <c r="C155" i="6"/>
  <c r="I154" i="6"/>
  <c r="H154" i="6"/>
  <c r="G154" i="6"/>
  <c r="F154" i="6"/>
  <c r="E154" i="6"/>
  <c r="D154" i="6"/>
  <c r="C154" i="6"/>
  <c r="I153" i="6"/>
  <c r="I150" i="6" s="1"/>
  <c r="H153" i="6"/>
  <c r="H150" i="6" s="1"/>
  <c r="G153" i="6"/>
  <c r="G150" i="6" s="1"/>
  <c r="F153" i="6"/>
  <c r="F150" i="6" s="1"/>
  <c r="E153" i="6"/>
  <c r="E150" i="6" s="1"/>
  <c r="D153" i="6"/>
  <c r="D150" i="6" s="1"/>
  <c r="C153" i="6"/>
  <c r="I152" i="6"/>
  <c r="H152" i="6"/>
  <c r="G152" i="6"/>
  <c r="F152" i="6"/>
  <c r="E152" i="6"/>
  <c r="D152" i="6"/>
  <c r="C152" i="6"/>
  <c r="I151" i="6"/>
  <c r="H151" i="6"/>
  <c r="G151" i="6"/>
  <c r="F151" i="6"/>
  <c r="E151" i="6"/>
  <c r="D151" i="6"/>
  <c r="I146" i="6"/>
  <c r="H146" i="6"/>
  <c r="G146" i="6"/>
  <c r="F146" i="6"/>
  <c r="E146" i="6"/>
  <c r="D146" i="6"/>
  <c r="C146" i="6"/>
  <c r="I145" i="6"/>
  <c r="H145" i="6"/>
  <c r="G145" i="6"/>
  <c r="F145" i="6"/>
  <c r="E145" i="6"/>
  <c r="D145" i="6"/>
  <c r="C145" i="6"/>
  <c r="I144" i="6"/>
  <c r="H144" i="6"/>
  <c r="G144" i="6"/>
  <c r="F144" i="6"/>
  <c r="E144" i="6"/>
  <c r="D144" i="6"/>
  <c r="C144" i="6"/>
  <c r="I143" i="6"/>
  <c r="H143" i="6"/>
  <c r="G143" i="6"/>
  <c r="F143" i="6"/>
  <c r="E143" i="6"/>
  <c r="D143" i="6"/>
  <c r="C143" i="6"/>
  <c r="I142" i="6"/>
  <c r="H142" i="6"/>
  <c r="G142" i="6"/>
  <c r="F142" i="6"/>
  <c r="E142" i="6"/>
  <c r="D142" i="6"/>
  <c r="C142" i="6"/>
  <c r="I141" i="6"/>
  <c r="H141" i="6"/>
  <c r="G141" i="6"/>
  <c r="F141" i="6"/>
  <c r="E141" i="6"/>
  <c r="D141" i="6"/>
  <c r="C141" i="6"/>
  <c r="I140" i="6"/>
  <c r="H140" i="6"/>
  <c r="G140" i="6"/>
  <c r="F140" i="6"/>
  <c r="E140" i="6"/>
  <c r="D140" i="6"/>
  <c r="C140" i="6"/>
  <c r="I139" i="6"/>
  <c r="H139" i="6"/>
  <c r="G139" i="6"/>
  <c r="F139" i="6"/>
  <c r="E139" i="6"/>
  <c r="D139" i="6"/>
  <c r="C139" i="6"/>
  <c r="I138" i="6"/>
  <c r="H138" i="6"/>
  <c r="G138" i="6"/>
  <c r="F138" i="6"/>
  <c r="E138" i="6"/>
  <c r="D138" i="6"/>
  <c r="C138" i="6"/>
  <c r="I137" i="6"/>
  <c r="I134" i="6" s="1"/>
  <c r="H137" i="6"/>
  <c r="H134" i="6" s="1"/>
  <c r="G137" i="6"/>
  <c r="G134" i="6" s="1"/>
  <c r="F137" i="6"/>
  <c r="F134" i="6" s="1"/>
  <c r="E137" i="6"/>
  <c r="E134" i="6" s="1"/>
  <c r="D137" i="6"/>
  <c r="D134" i="6" s="1"/>
  <c r="C137" i="6"/>
  <c r="I136" i="6"/>
  <c r="H136" i="6"/>
  <c r="G136" i="6"/>
  <c r="F136" i="6"/>
  <c r="E136" i="6"/>
  <c r="D136" i="6"/>
  <c r="C136" i="6"/>
  <c r="I135" i="6"/>
  <c r="H135" i="6"/>
  <c r="G135" i="6"/>
  <c r="F135" i="6"/>
  <c r="E135" i="6"/>
  <c r="D135" i="6"/>
  <c r="I130" i="6"/>
  <c r="H130" i="6"/>
  <c r="G130" i="6"/>
  <c r="F130" i="6"/>
  <c r="E130" i="6"/>
  <c r="D130" i="6"/>
  <c r="C130" i="6"/>
  <c r="I129" i="6"/>
  <c r="H129" i="6"/>
  <c r="G129" i="6"/>
  <c r="F129" i="6"/>
  <c r="E129" i="6"/>
  <c r="D129" i="6"/>
  <c r="C129" i="6"/>
  <c r="I128" i="6"/>
  <c r="H128" i="6"/>
  <c r="G128" i="6"/>
  <c r="F128" i="6"/>
  <c r="E128" i="6"/>
  <c r="D128" i="6"/>
  <c r="C128" i="6"/>
  <c r="I127" i="6"/>
  <c r="H127" i="6"/>
  <c r="G127" i="6"/>
  <c r="F127" i="6"/>
  <c r="E127" i="6"/>
  <c r="D127" i="6"/>
  <c r="C127" i="6"/>
  <c r="I126" i="6"/>
  <c r="H126" i="6"/>
  <c r="G126" i="6"/>
  <c r="F126" i="6"/>
  <c r="E126" i="6"/>
  <c r="D126" i="6"/>
  <c r="C126" i="6"/>
  <c r="I125" i="6"/>
  <c r="H125" i="6"/>
  <c r="G125" i="6"/>
  <c r="F125" i="6"/>
  <c r="E125" i="6"/>
  <c r="D125" i="6"/>
  <c r="C125" i="6"/>
  <c r="I124" i="6"/>
  <c r="H124" i="6"/>
  <c r="G124" i="6"/>
  <c r="F124" i="6"/>
  <c r="E124" i="6"/>
  <c r="D124" i="6"/>
  <c r="C124" i="6"/>
  <c r="I123" i="6"/>
  <c r="H123" i="6"/>
  <c r="G123" i="6"/>
  <c r="F123" i="6"/>
  <c r="E123" i="6"/>
  <c r="D123" i="6"/>
  <c r="C123" i="6"/>
  <c r="I122" i="6"/>
  <c r="H122" i="6"/>
  <c r="G122" i="6"/>
  <c r="F122" i="6"/>
  <c r="E122" i="6"/>
  <c r="D122" i="6"/>
  <c r="C122" i="6"/>
  <c r="I121" i="6"/>
  <c r="I118" i="6" s="1"/>
  <c r="H121" i="6"/>
  <c r="H118" i="6" s="1"/>
  <c r="G121" i="6"/>
  <c r="G118" i="6" s="1"/>
  <c r="F121" i="6"/>
  <c r="F118" i="6" s="1"/>
  <c r="E121" i="6"/>
  <c r="E118" i="6" s="1"/>
  <c r="D121" i="6"/>
  <c r="D118" i="6" s="1"/>
  <c r="C121" i="6"/>
  <c r="I120" i="6"/>
  <c r="H120" i="6"/>
  <c r="G120" i="6"/>
  <c r="F120" i="6"/>
  <c r="E120" i="6"/>
  <c r="D120" i="6"/>
  <c r="C120" i="6"/>
  <c r="I119" i="6"/>
  <c r="H119" i="6"/>
  <c r="G119" i="6"/>
  <c r="F119" i="6"/>
  <c r="E119" i="6"/>
  <c r="D119" i="6"/>
  <c r="I114" i="6"/>
  <c r="H114" i="6"/>
  <c r="G114" i="6"/>
  <c r="F114" i="6"/>
  <c r="E114" i="6"/>
  <c r="D114" i="6"/>
  <c r="C114" i="6"/>
  <c r="I113" i="6"/>
  <c r="H113" i="6"/>
  <c r="G113" i="6"/>
  <c r="F113" i="6"/>
  <c r="E113" i="6"/>
  <c r="D113" i="6"/>
  <c r="C113" i="6"/>
  <c r="I112" i="6"/>
  <c r="H112" i="6"/>
  <c r="G112" i="6"/>
  <c r="F112" i="6"/>
  <c r="E112" i="6"/>
  <c r="D112" i="6"/>
  <c r="C112" i="6"/>
  <c r="I111" i="6"/>
  <c r="H111" i="6"/>
  <c r="G111" i="6"/>
  <c r="F111" i="6"/>
  <c r="E111" i="6"/>
  <c r="D111" i="6"/>
  <c r="C111" i="6"/>
  <c r="I110" i="6"/>
  <c r="H110" i="6"/>
  <c r="G110" i="6"/>
  <c r="F110" i="6"/>
  <c r="E110" i="6"/>
  <c r="D110" i="6"/>
  <c r="C110" i="6"/>
  <c r="I109" i="6"/>
  <c r="H109" i="6"/>
  <c r="G109" i="6"/>
  <c r="F109" i="6"/>
  <c r="E109" i="6"/>
  <c r="D109" i="6"/>
  <c r="C109" i="6"/>
  <c r="I108" i="6"/>
  <c r="H108" i="6"/>
  <c r="G108" i="6"/>
  <c r="F108" i="6"/>
  <c r="E108" i="6"/>
  <c r="D108" i="6"/>
  <c r="C108" i="6"/>
  <c r="I107" i="6"/>
  <c r="H107" i="6"/>
  <c r="G107" i="6"/>
  <c r="F107" i="6"/>
  <c r="E107" i="6"/>
  <c r="D107" i="6"/>
  <c r="C107" i="6"/>
  <c r="I106" i="6"/>
  <c r="H106" i="6"/>
  <c r="G106" i="6"/>
  <c r="F106" i="6"/>
  <c r="E106" i="6"/>
  <c r="D106" i="6"/>
  <c r="C106" i="6"/>
  <c r="I105" i="6"/>
  <c r="I102" i="6" s="1"/>
  <c r="H105" i="6"/>
  <c r="H102" i="6" s="1"/>
  <c r="G105" i="6"/>
  <c r="G102" i="6" s="1"/>
  <c r="F105" i="6"/>
  <c r="F102" i="6" s="1"/>
  <c r="E105" i="6"/>
  <c r="E102" i="6" s="1"/>
  <c r="D105" i="6"/>
  <c r="D102" i="6" s="1"/>
  <c r="C105" i="6"/>
  <c r="I104" i="6"/>
  <c r="H104" i="6"/>
  <c r="G104" i="6"/>
  <c r="F104" i="6"/>
  <c r="E104" i="6"/>
  <c r="D104" i="6"/>
  <c r="C104" i="6"/>
  <c r="I103" i="6"/>
  <c r="H103" i="6"/>
  <c r="G103" i="6"/>
  <c r="F103" i="6"/>
  <c r="E103" i="6"/>
  <c r="D103" i="6"/>
  <c r="I98" i="6"/>
  <c r="H98" i="6"/>
  <c r="G98" i="6"/>
  <c r="F98" i="6"/>
  <c r="E98" i="6"/>
  <c r="D98" i="6"/>
  <c r="C98" i="6"/>
  <c r="I97" i="6"/>
  <c r="H97" i="6"/>
  <c r="G97" i="6"/>
  <c r="F97" i="6"/>
  <c r="E97" i="6"/>
  <c r="D97" i="6"/>
  <c r="C97" i="6"/>
  <c r="I96" i="6"/>
  <c r="H96" i="6"/>
  <c r="G96" i="6"/>
  <c r="F96" i="6"/>
  <c r="E96" i="6"/>
  <c r="D96" i="6"/>
  <c r="C96" i="6"/>
  <c r="I95" i="6"/>
  <c r="H95" i="6"/>
  <c r="G95" i="6"/>
  <c r="F95" i="6"/>
  <c r="E95" i="6"/>
  <c r="D95" i="6"/>
  <c r="C95" i="6"/>
  <c r="I94" i="6"/>
  <c r="H94" i="6"/>
  <c r="G94" i="6"/>
  <c r="F94" i="6"/>
  <c r="E94" i="6"/>
  <c r="D94" i="6"/>
  <c r="C94" i="6"/>
  <c r="I93" i="6"/>
  <c r="H93" i="6"/>
  <c r="G93" i="6"/>
  <c r="F93" i="6"/>
  <c r="E93" i="6"/>
  <c r="D93" i="6"/>
  <c r="C93" i="6"/>
  <c r="I92" i="6"/>
  <c r="H92" i="6"/>
  <c r="G92" i="6"/>
  <c r="F92" i="6"/>
  <c r="E92" i="6"/>
  <c r="D92" i="6"/>
  <c r="C92" i="6"/>
  <c r="I91" i="6"/>
  <c r="H91" i="6"/>
  <c r="G91" i="6"/>
  <c r="F91" i="6"/>
  <c r="E91" i="6"/>
  <c r="D91" i="6"/>
  <c r="C91" i="6"/>
  <c r="I90" i="6"/>
  <c r="H90" i="6"/>
  <c r="G90" i="6"/>
  <c r="F90" i="6"/>
  <c r="E90" i="6"/>
  <c r="D90" i="6"/>
  <c r="C90" i="6"/>
  <c r="I89" i="6"/>
  <c r="I86" i="6" s="1"/>
  <c r="H89" i="6"/>
  <c r="H86" i="6" s="1"/>
  <c r="G89" i="6"/>
  <c r="G86" i="6" s="1"/>
  <c r="F89" i="6"/>
  <c r="F86" i="6" s="1"/>
  <c r="E89" i="6"/>
  <c r="E86" i="6" s="1"/>
  <c r="D89" i="6"/>
  <c r="D86" i="6" s="1"/>
  <c r="C89" i="6"/>
  <c r="I88" i="6"/>
  <c r="H88" i="6"/>
  <c r="G88" i="6"/>
  <c r="F88" i="6"/>
  <c r="E88" i="6"/>
  <c r="D88" i="6"/>
  <c r="C88" i="6"/>
  <c r="I87" i="6"/>
  <c r="H87" i="6"/>
  <c r="G87" i="6"/>
  <c r="F87" i="6"/>
  <c r="E87" i="6"/>
  <c r="D87" i="6"/>
  <c r="I82" i="6"/>
  <c r="H82" i="6"/>
  <c r="G82" i="6"/>
  <c r="F82" i="6"/>
  <c r="E82" i="6"/>
  <c r="D82" i="6"/>
  <c r="C82" i="6"/>
  <c r="I81" i="6"/>
  <c r="H81" i="6"/>
  <c r="G81" i="6"/>
  <c r="F81" i="6"/>
  <c r="E81" i="6"/>
  <c r="D81" i="6"/>
  <c r="C81" i="6"/>
  <c r="I80" i="6"/>
  <c r="H80" i="6"/>
  <c r="G80" i="6"/>
  <c r="F80" i="6"/>
  <c r="E80" i="6"/>
  <c r="D80" i="6"/>
  <c r="C80" i="6"/>
  <c r="I79" i="6"/>
  <c r="H79" i="6"/>
  <c r="G79" i="6"/>
  <c r="F79" i="6"/>
  <c r="E79" i="6"/>
  <c r="D79" i="6"/>
  <c r="C79" i="6"/>
  <c r="I78" i="6"/>
  <c r="H78" i="6"/>
  <c r="G78" i="6"/>
  <c r="F78" i="6"/>
  <c r="E78" i="6"/>
  <c r="D78" i="6"/>
  <c r="C78" i="6"/>
  <c r="I77" i="6"/>
  <c r="H77" i="6"/>
  <c r="G77" i="6"/>
  <c r="F77" i="6"/>
  <c r="E77" i="6"/>
  <c r="D77" i="6"/>
  <c r="C77" i="6"/>
  <c r="I76" i="6"/>
  <c r="H76" i="6"/>
  <c r="G76" i="6"/>
  <c r="F76" i="6"/>
  <c r="E76" i="6"/>
  <c r="D76" i="6"/>
  <c r="C76" i="6"/>
  <c r="I75" i="6"/>
  <c r="H75" i="6"/>
  <c r="G75" i="6"/>
  <c r="F75" i="6"/>
  <c r="E75" i="6"/>
  <c r="D75" i="6"/>
  <c r="C75" i="6"/>
  <c r="I74" i="6"/>
  <c r="H74" i="6"/>
  <c r="G74" i="6"/>
  <c r="F74" i="6"/>
  <c r="E74" i="6"/>
  <c r="D74" i="6"/>
  <c r="C74" i="6"/>
  <c r="I73" i="6"/>
  <c r="I70" i="6" s="1"/>
  <c r="H73" i="6"/>
  <c r="H70" i="6" s="1"/>
  <c r="G73" i="6"/>
  <c r="G70" i="6" s="1"/>
  <c r="F73" i="6"/>
  <c r="F70" i="6" s="1"/>
  <c r="E73" i="6"/>
  <c r="E70" i="6" s="1"/>
  <c r="D73" i="6"/>
  <c r="D70" i="6" s="1"/>
  <c r="C73" i="6"/>
  <c r="I72" i="6"/>
  <c r="H72" i="6"/>
  <c r="G72" i="6"/>
  <c r="F72" i="6"/>
  <c r="E72" i="6"/>
  <c r="D72" i="6"/>
  <c r="C72" i="6"/>
  <c r="I71" i="6"/>
  <c r="H71" i="6"/>
  <c r="G71" i="6"/>
  <c r="F71" i="6"/>
  <c r="E71" i="6"/>
  <c r="D71" i="6"/>
  <c r="I66" i="6"/>
  <c r="H66" i="6"/>
  <c r="G66" i="6"/>
  <c r="F66" i="6"/>
  <c r="E66" i="6"/>
  <c r="D66" i="6"/>
  <c r="C66" i="6"/>
  <c r="I65" i="6"/>
  <c r="H65" i="6"/>
  <c r="G65" i="6"/>
  <c r="F65" i="6"/>
  <c r="E65" i="6"/>
  <c r="D65" i="6"/>
  <c r="C65" i="6"/>
  <c r="I64" i="6"/>
  <c r="H64" i="6"/>
  <c r="G64" i="6"/>
  <c r="F64" i="6"/>
  <c r="E64" i="6"/>
  <c r="D64" i="6"/>
  <c r="C64" i="6"/>
  <c r="I63" i="6"/>
  <c r="H63" i="6"/>
  <c r="G63" i="6"/>
  <c r="F63" i="6"/>
  <c r="E63" i="6"/>
  <c r="D63" i="6"/>
  <c r="C63" i="6"/>
  <c r="I62" i="6"/>
  <c r="H62" i="6"/>
  <c r="G62" i="6"/>
  <c r="F62" i="6"/>
  <c r="E62" i="6"/>
  <c r="D62" i="6"/>
  <c r="C62" i="6"/>
  <c r="I61" i="6"/>
  <c r="H61" i="6"/>
  <c r="G61" i="6"/>
  <c r="F61" i="6"/>
  <c r="E61" i="6"/>
  <c r="D61" i="6"/>
  <c r="C61" i="6"/>
  <c r="I60" i="6"/>
  <c r="H60" i="6"/>
  <c r="G60" i="6"/>
  <c r="F60" i="6"/>
  <c r="E60" i="6"/>
  <c r="D60" i="6"/>
  <c r="C60" i="6"/>
  <c r="I59" i="6"/>
  <c r="H59" i="6"/>
  <c r="G59" i="6"/>
  <c r="F59" i="6"/>
  <c r="E59" i="6"/>
  <c r="D59" i="6"/>
  <c r="C59" i="6"/>
  <c r="I58" i="6"/>
  <c r="H58" i="6"/>
  <c r="G58" i="6"/>
  <c r="F58" i="6"/>
  <c r="E58" i="6"/>
  <c r="D58" i="6"/>
  <c r="C58" i="6"/>
  <c r="I57" i="6"/>
  <c r="I54" i="6" s="1"/>
  <c r="H57" i="6"/>
  <c r="H54" i="6" s="1"/>
  <c r="G57" i="6"/>
  <c r="G54" i="6" s="1"/>
  <c r="F57" i="6"/>
  <c r="F54" i="6" s="1"/>
  <c r="E57" i="6"/>
  <c r="E54" i="6" s="1"/>
  <c r="D57" i="6"/>
  <c r="D54" i="6" s="1"/>
  <c r="C57" i="6"/>
  <c r="I56" i="6"/>
  <c r="H56" i="6"/>
  <c r="G56" i="6"/>
  <c r="F56" i="6"/>
  <c r="E56" i="6"/>
  <c r="D56" i="6"/>
  <c r="C56" i="6"/>
  <c r="I55" i="6"/>
  <c r="H55" i="6"/>
  <c r="G55" i="6"/>
  <c r="F55" i="6"/>
  <c r="E55" i="6"/>
  <c r="D55" i="6"/>
  <c r="I50" i="6"/>
  <c r="H50" i="6"/>
  <c r="G50" i="6"/>
  <c r="F50" i="6"/>
  <c r="E50" i="6"/>
  <c r="D50" i="6"/>
  <c r="C50" i="6"/>
  <c r="I49" i="6"/>
  <c r="H49" i="6"/>
  <c r="G49" i="6"/>
  <c r="F49" i="6"/>
  <c r="E49" i="6"/>
  <c r="D49" i="6"/>
  <c r="C49" i="6"/>
  <c r="I48" i="6"/>
  <c r="H48" i="6"/>
  <c r="G48" i="6"/>
  <c r="F48" i="6"/>
  <c r="E48" i="6"/>
  <c r="D48" i="6"/>
  <c r="C48" i="6"/>
  <c r="I47" i="6"/>
  <c r="H47" i="6"/>
  <c r="G47" i="6"/>
  <c r="F47" i="6"/>
  <c r="E47" i="6"/>
  <c r="D47" i="6"/>
  <c r="C47" i="6"/>
  <c r="I46" i="6"/>
  <c r="H46" i="6"/>
  <c r="G46" i="6"/>
  <c r="F46" i="6"/>
  <c r="E46" i="6"/>
  <c r="D46" i="6"/>
  <c r="C46" i="6"/>
  <c r="I45" i="6"/>
  <c r="H45" i="6"/>
  <c r="G45" i="6"/>
  <c r="F45" i="6"/>
  <c r="E45" i="6"/>
  <c r="D45" i="6"/>
  <c r="C45" i="6"/>
  <c r="I44" i="6"/>
  <c r="H44" i="6"/>
  <c r="G44" i="6"/>
  <c r="F44" i="6"/>
  <c r="E44" i="6"/>
  <c r="D44" i="6"/>
  <c r="C44" i="6"/>
  <c r="I43" i="6"/>
  <c r="H43" i="6"/>
  <c r="G43" i="6"/>
  <c r="F43" i="6"/>
  <c r="E43" i="6"/>
  <c r="D43" i="6"/>
  <c r="C43" i="6"/>
  <c r="I42" i="6"/>
  <c r="H42" i="6"/>
  <c r="G42" i="6"/>
  <c r="F42" i="6"/>
  <c r="E42" i="6"/>
  <c r="D42" i="6"/>
  <c r="C42" i="6"/>
  <c r="I41" i="6"/>
  <c r="I38" i="6" s="1"/>
  <c r="H41" i="6"/>
  <c r="H38" i="6" s="1"/>
  <c r="G41" i="6"/>
  <c r="G38" i="6" s="1"/>
  <c r="F41" i="6"/>
  <c r="F38" i="6" s="1"/>
  <c r="E41" i="6"/>
  <c r="E38" i="6" s="1"/>
  <c r="D41" i="6"/>
  <c r="D38" i="6" s="1"/>
  <c r="C41" i="6"/>
  <c r="I40" i="6"/>
  <c r="H40" i="6"/>
  <c r="G40" i="6"/>
  <c r="F40" i="6"/>
  <c r="E40" i="6"/>
  <c r="D40" i="6"/>
  <c r="C40" i="6"/>
  <c r="I39" i="6"/>
  <c r="H39" i="6"/>
  <c r="G39" i="6"/>
  <c r="F39" i="6"/>
  <c r="E39" i="6"/>
  <c r="D39" i="6"/>
  <c r="I34" i="6"/>
  <c r="H34" i="6"/>
  <c r="G34" i="6"/>
  <c r="F34" i="6"/>
  <c r="E34" i="6"/>
  <c r="D34" i="6"/>
  <c r="C34" i="6"/>
  <c r="I33" i="6"/>
  <c r="H33" i="6"/>
  <c r="G33" i="6"/>
  <c r="F33" i="6"/>
  <c r="E33" i="6"/>
  <c r="D33" i="6"/>
  <c r="C33" i="6"/>
  <c r="I32" i="6"/>
  <c r="H32" i="6"/>
  <c r="G32" i="6"/>
  <c r="F32" i="6"/>
  <c r="E32" i="6"/>
  <c r="D32" i="6"/>
  <c r="C32" i="6"/>
  <c r="I31" i="6"/>
  <c r="H31" i="6"/>
  <c r="G31" i="6"/>
  <c r="F31" i="6"/>
  <c r="E31" i="6"/>
  <c r="D31" i="6"/>
  <c r="C31" i="6"/>
  <c r="I30" i="6"/>
  <c r="H30" i="6"/>
  <c r="G30" i="6"/>
  <c r="F30" i="6"/>
  <c r="E30" i="6"/>
  <c r="D30" i="6"/>
  <c r="C30" i="6"/>
  <c r="I29" i="6"/>
  <c r="H29" i="6"/>
  <c r="G29" i="6"/>
  <c r="F29" i="6"/>
  <c r="E29" i="6"/>
  <c r="D29" i="6"/>
  <c r="C29" i="6"/>
  <c r="I28" i="6"/>
  <c r="H28" i="6"/>
  <c r="G28" i="6"/>
  <c r="F28" i="6"/>
  <c r="E28" i="6"/>
  <c r="D28" i="6"/>
  <c r="C28" i="6"/>
  <c r="I27" i="6"/>
  <c r="H27" i="6"/>
  <c r="G27" i="6"/>
  <c r="F27" i="6"/>
  <c r="E27" i="6"/>
  <c r="D27" i="6"/>
  <c r="C27" i="6"/>
  <c r="I26" i="6"/>
  <c r="H26" i="6"/>
  <c r="G26" i="6"/>
  <c r="F26" i="6"/>
  <c r="E26" i="6"/>
  <c r="D26" i="6"/>
  <c r="C26" i="6"/>
  <c r="I25" i="6"/>
  <c r="I22" i="6" s="1"/>
  <c r="H25" i="6"/>
  <c r="H22" i="6" s="1"/>
  <c r="G25" i="6"/>
  <c r="G22" i="6" s="1"/>
  <c r="F25" i="6"/>
  <c r="F22" i="6" s="1"/>
  <c r="E25" i="6"/>
  <c r="E22" i="6" s="1"/>
  <c r="D25" i="6"/>
  <c r="D22" i="6" s="1"/>
  <c r="C25" i="6"/>
  <c r="I24" i="6"/>
  <c r="H24" i="6"/>
  <c r="G24" i="6"/>
  <c r="F24" i="6"/>
  <c r="E24" i="6"/>
  <c r="D24" i="6"/>
  <c r="C24" i="6"/>
  <c r="I23" i="6"/>
  <c r="H23" i="6"/>
  <c r="G23" i="6"/>
  <c r="F23" i="6"/>
  <c r="E23" i="6"/>
  <c r="D23" i="6"/>
  <c r="I18" i="6"/>
  <c r="H18" i="6"/>
  <c r="G18" i="6"/>
  <c r="F18" i="6"/>
  <c r="E18" i="6"/>
  <c r="D18" i="6"/>
  <c r="C18" i="6"/>
  <c r="I17" i="6"/>
  <c r="H17" i="6"/>
  <c r="G17" i="6"/>
  <c r="F17" i="6"/>
  <c r="E17" i="6"/>
  <c r="D17" i="6"/>
  <c r="C17" i="6"/>
  <c r="I16" i="6"/>
  <c r="H16" i="6"/>
  <c r="G16" i="6"/>
  <c r="F16" i="6"/>
  <c r="E16" i="6"/>
  <c r="D16" i="6"/>
  <c r="C16" i="6"/>
  <c r="I15" i="6"/>
  <c r="H15" i="6"/>
  <c r="G15" i="6"/>
  <c r="F15" i="6"/>
  <c r="E15" i="6"/>
  <c r="D15" i="6"/>
  <c r="C15" i="6"/>
  <c r="I14" i="6"/>
  <c r="H14" i="6"/>
  <c r="G14" i="6"/>
  <c r="F14" i="6"/>
  <c r="E14" i="6"/>
  <c r="D14" i="6"/>
  <c r="C14" i="6"/>
  <c r="I13" i="6"/>
  <c r="H13" i="6"/>
  <c r="G13" i="6"/>
  <c r="F13" i="6"/>
  <c r="E13" i="6"/>
  <c r="D13" i="6"/>
  <c r="C13" i="6"/>
  <c r="I12" i="6"/>
  <c r="H12" i="6"/>
  <c r="G12" i="6"/>
  <c r="F12" i="6"/>
  <c r="E12" i="6"/>
  <c r="D12" i="6"/>
  <c r="C12" i="6"/>
  <c r="I11" i="6"/>
  <c r="H11" i="6"/>
  <c r="G11" i="6"/>
  <c r="F11" i="6"/>
  <c r="E11" i="6"/>
  <c r="D11" i="6"/>
  <c r="C11" i="6"/>
  <c r="I10" i="6"/>
  <c r="H10" i="6"/>
  <c r="G10" i="6"/>
  <c r="F10" i="6"/>
  <c r="E10" i="6"/>
  <c r="D10" i="6"/>
  <c r="C10" i="6"/>
  <c r="I9" i="6"/>
  <c r="I6" i="6" s="1"/>
  <c r="H9" i="6"/>
  <c r="H6" i="6" s="1"/>
  <c r="G9" i="6"/>
  <c r="G6" i="6" s="1"/>
  <c r="F9" i="6"/>
  <c r="F6" i="6" s="1"/>
  <c r="E9" i="6"/>
  <c r="E6" i="6" s="1"/>
  <c r="D9" i="6"/>
  <c r="D6" i="6" s="1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AG31" i="1"/>
  <c r="AF31" i="1"/>
  <c r="AE31" i="1"/>
  <c r="AD31" i="1"/>
  <c r="AC31" i="1"/>
  <c r="AB31" i="1"/>
  <c r="AA31" i="1"/>
  <c r="AG30" i="1"/>
  <c r="AF30" i="1"/>
  <c r="AE30" i="1"/>
  <c r="AD30" i="1"/>
  <c r="AC30" i="1"/>
  <c r="AB30" i="1"/>
  <c r="AA30" i="1"/>
  <c r="AG29" i="1"/>
  <c r="AF29" i="1"/>
  <c r="AE29" i="1"/>
  <c r="AD29" i="1"/>
  <c r="AC29" i="1"/>
  <c r="AB29" i="1"/>
  <c r="AA29" i="1"/>
  <c r="AG28" i="1"/>
  <c r="AF28" i="1"/>
  <c r="AE28" i="1"/>
  <c r="AD28" i="1"/>
  <c r="AC28" i="1"/>
  <c r="AB28" i="1"/>
  <c r="AA28" i="1"/>
  <c r="AG27" i="1"/>
  <c r="AG25" i="1" s="1"/>
  <c r="AF27" i="1"/>
  <c r="AF25" i="1" s="1"/>
  <c r="AE27" i="1"/>
  <c r="AE25" i="1" s="1"/>
  <c r="AD27" i="1"/>
  <c r="AD25" i="1" s="1"/>
  <c r="AC27" i="1"/>
  <c r="AC25" i="1" s="1"/>
  <c r="AB27" i="1"/>
  <c r="AB25" i="1" s="1"/>
  <c r="AA27" i="1"/>
  <c r="AG26" i="1"/>
  <c r="AF26" i="1"/>
  <c r="AE26" i="1"/>
  <c r="AD26" i="1"/>
  <c r="AC26" i="1"/>
  <c r="AB26" i="1"/>
  <c r="Y31" i="1"/>
  <c r="X31" i="1"/>
  <c r="W31" i="1"/>
  <c r="V31" i="1"/>
  <c r="U31" i="1"/>
  <c r="T31" i="1"/>
  <c r="S31" i="1"/>
  <c r="Y30" i="1"/>
  <c r="X30" i="1"/>
  <c r="W30" i="1"/>
  <c r="V30" i="1"/>
  <c r="U30" i="1"/>
  <c r="T30" i="1"/>
  <c r="S30" i="1"/>
  <c r="Y29" i="1"/>
  <c r="X29" i="1"/>
  <c r="W29" i="1"/>
  <c r="V29" i="1"/>
  <c r="U29" i="1"/>
  <c r="T29" i="1"/>
  <c r="S29" i="1"/>
  <c r="Y28" i="1"/>
  <c r="X28" i="1"/>
  <c r="W28" i="1"/>
  <c r="V28" i="1"/>
  <c r="U28" i="1"/>
  <c r="T28" i="1"/>
  <c r="S28" i="1"/>
  <c r="Y27" i="1"/>
  <c r="Y25" i="1" s="1"/>
  <c r="X27" i="1"/>
  <c r="X25" i="1" s="1"/>
  <c r="W27" i="1"/>
  <c r="W25" i="1" s="1"/>
  <c r="V27" i="1"/>
  <c r="V25" i="1" s="1"/>
  <c r="U27" i="1"/>
  <c r="U25" i="1" s="1"/>
  <c r="T27" i="1"/>
  <c r="T25" i="1" s="1"/>
  <c r="S27" i="1"/>
  <c r="Y26" i="1"/>
  <c r="X26" i="1"/>
  <c r="W26" i="1"/>
  <c r="V26" i="1"/>
  <c r="U26" i="1"/>
  <c r="T26" i="1"/>
  <c r="Q31" i="1"/>
  <c r="P31" i="1"/>
  <c r="O31" i="1"/>
  <c r="N31" i="1"/>
  <c r="M31" i="1"/>
  <c r="L31" i="1"/>
  <c r="K31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Q25" i="1" s="1"/>
  <c r="P27" i="1"/>
  <c r="P25" i="1" s="1"/>
  <c r="O27" i="1"/>
  <c r="O25" i="1" s="1"/>
  <c r="N27" i="1"/>
  <c r="N25" i="1" s="1"/>
  <c r="M27" i="1"/>
  <c r="M25" i="1" s="1"/>
  <c r="L27" i="1"/>
  <c r="L25" i="1" s="1"/>
  <c r="K27" i="1"/>
  <c r="Q26" i="1"/>
  <c r="P26" i="1"/>
  <c r="O26" i="1"/>
  <c r="N26" i="1"/>
  <c r="M26" i="1"/>
  <c r="L26" i="1"/>
  <c r="I31" i="1"/>
  <c r="H31" i="1"/>
  <c r="G31" i="1"/>
  <c r="F31" i="1"/>
  <c r="E31" i="1"/>
  <c r="D31" i="1"/>
  <c r="C31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I25" i="1" s="1"/>
  <c r="H27" i="1"/>
  <c r="H25" i="1" s="1"/>
  <c r="G27" i="1"/>
  <c r="G25" i="1" s="1"/>
  <c r="F27" i="1"/>
  <c r="F25" i="1" s="1"/>
  <c r="E27" i="1"/>
  <c r="E25" i="1" s="1"/>
  <c r="D27" i="1"/>
  <c r="D25" i="1" s="1"/>
  <c r="C27" i="1"/>
  <c r="I26" i="1"/>
  <c r="H26" i="1"/>
  <c r="G26" i="1"/>
  <c r="F26" i="1"/>
  <c r="E26" i="1"/>
  <c r="D26" i="1"/>
  <c r="AG22" i="1"/>
  <c r="AF22" i="1"/>
  <c r="AE22" i="1"/>
  <c r="AD22" i="1"/>
  <c r="AC22" i="1"/>
  <c r="AB22" i="1"/>
  <c r="AA22" i="1"/>
  <c r="AG21" i="1"/>
  <c r="AF21" i="1"/>
  <c r="AE21" i="1"/>
  <c r="AD21" i="1"/>
  <c r="AC21" i="1"/>
  <c r="AB21" i="1"/>
  <c r="AA21" i="1"/>
  <c r="AG20" i="1"/>
  <c r="AF20" i="1"/>
  <c r="AE20" i="1"/>
  <c r="AD20" i="1"/>
  <c r="AC20" i="1"/>
  <c r="AB20" i="1"/>
  <c r="AA20" i="1"/>
  <c r="AG19" i="1"/>
  <c r="AF19" i="1"/>
  <c r="AE19" i="1"/>
  <c r="AD19" i="1"/>
  <c r="AC19" i="1"/>
  <c r="AB19" i="1"/>
  <c r="AA19" i="1"/>
  <c r="AG18" i="1"/>
  <c r="AG16" i="1" s="1"/>
  <c r="AF18" i="1"/>
  <c r="AF16" i="1" s="1"/>
  <c r="AE18" i="1"/>
  <c r="AE16" i="1" s="1"/>
  <c r="AD18" i="1"/>
  <c r="AD16" i="1" s="1"/>
  <c r="AC18" i="1"/>
  <c r="AC16" i="1" s="1"/>
  <c r="AB18" i="1"/>
  <c r="AB16" i="1" s="1"/>
  <c r="AA18" i="1"/>
  <c r="AG17" i="1"/>
  <c r="AF17" i="1"/>
  <c r="AE17" i="1"/>
  <c r="AD17" i="1"/>
  <c r="AC17" i="1"/>
  <c r="AB17" i="1"/>
  <c r="Y22" i="1"/>
  <c r="X22" i="1"/>
  <c r="W22" i="1"/>
  <c r="V22" i="1"/>
  <c r="U22" i="1"/>
  <c r="T22" i="1"/>
  <c r="S22" i="1"/>
  <c r="Y21" i="1"/>
  <c r="X21" i="1"/>
  <c r="W21" i="1"/>
  <c r="V21" i="1"/>
  <c r="U21" i="1"/>
  <c r="T21" i="1"/>
  <c r="S21" i="1"/>
  <c r="Y20" i="1"/>
  <c r="X20" i="1"/>
  <c r="W20" i="1"/>
  <c r="V20" i="1"/>
  <c r="U20" i="1"/>
  <c r="T20" i="1"/>
  <c r="S20" i="1"/>
  <c r="Y19" i="1"/>
  <c r="X19" i="1"/>
  <c r="W19" i="1"/>
  <c r="V19" i="1"/>
  <c r="U19" i="1"/>
  <c r="T19" i="1"/>
  <c r="S19" i="1"/>
  <c r="Y18" i="1"/>
  <c r="Y16" i="1" s="1"/>
  <c r="X18" i="1"/>
  <c r="X16" i="1" s="1"/>
  <c r="W18" i="1"/>
  <c r="W16" i="1" s="1"/>
  <c r="V18" i="1"/>
  <c r="V16" i="1" s="1"/>
  <c r="U18" i="1"/>
  <c r="U16" i="1" s="1"/>
  <c r="T18" i="1"/>
  <c r="T16" i="1" s="1"/>
  <c r="S18" i="1"/>
  <c r="Y17" i="1"/>
  <c r="X17" i="1"/>
  <c r="W17" i="1"/>
  <c r="V17" i="1"/>
  <c r="U17" i="1"/>
  <c r="T17" i="1"/>
  <c r="Q22" i="1"/>
  <c r="P22" i="1"/>
  <c r="O22" i="1"/>
  <c r="N22" i="1"/>
  <c r="M22" i="1"/>
  <c r="L22" i="1"/>
  <c r="K22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Q18" i="1"/>
  <c r="Q16" i="1" s="1"/>
  <c r="P18" i="1"/>
  <c r="P16" i="1" s="1"/>
  <c r="O18" i="1"/>
  <c r="O16" i="1" s="1"/>
  <c r="N18" i="1"/>
  <c r="N16" i="1" s="1"/>
  <c r="M18" i="1"/>
  <c r="M16" i="1" s="1"/>
  <c r="L18" i="1"/>
  <c r="L16" i="1" s="1"/>
  <c r="K18" i="1"/>
  <c r="Q17" i="1"/>
  <c r="P17" i="1"/>
  <c r="O17" i="1"/>
  <c r="N17" i="1"/>
  <c r="M17" i="1"/>
  <c r="L17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I16" i="1" s="1"/>
  <c r="H18" i="1"/>
  <c r="H16" i="1" s="1"/>
  <c r="G18" i="1"/>
  <c r="G16" i="1" s="1"/>
  <c r="F18" i="1"/>
  <c r="F16" i="1" s="1"/>
  <c r="E18" i="1"/>
  <c r="E16" i="1" s="1"/>
  <c r="D18" i="1"/>
  <c r="D16" i="1" s="1"/>
  <c r="C18" i="1"/>
  <c r="I17" i="1"/>
  <c r="H17" i="1"/>
  <c r="G17" i="1"/>
  <c r="F17" i="1"/>
  <c r="E17" i="1"/>
  <c r="D17" i="1"/>
  <c r="AG13" i="1"/>
  <c r="AF13" i="1"/>
  <c r="AE13" i="1"/>
  <c r="AD13" i="1"/>
  <c r="AC13" i="1"/>
  <c r="AB13" i="1"/>
  <c r="AA13" i="1"/>
  <c r="AG12" i="1"/>
  <c r="AF12" i="1"/>
  <c r="AE12" i="1"/>
  <c r="AD12" i="1"/>
  <c r="AC12" i="1"/>
  <c r="AB12" i="1"/>
  <c r="AA12" i="1"/>
  <c r="AG11" i="1"/>
  <c r="AF11" i="1"/>
  <c r="AE11" i="1"/>
  <c r="AD11" i="1"/>
  <c r="AC11" i="1"/>
  <c r="AB11" i="1"/>
  <c r="AA11" i="1"/>
  <c r="AG10" i="1"/>
  <c r="AF10" i="1"/>
  <c r="AE10" i="1"/>
  <c r="AD10" i="1"/>
  <c r="AC10" i="1"/>
  <c r="AB10" i="1"/>
  <c r="AA10" i="1"/>
  <c r="AG9" i="1"/>
  <c r="AG7" i="1" s="1"/>
  <c r="AF9" i="1"/>
  <c r="AF7" i="1" s="1"/>
  <c r="AE9" i="1"/>
  <c r="AE7" i="1" s="1"/>
  <c r="AD9" i="1"/>
  <c r="AD7" i="1" s="1"/>
  <c r="AC9" i="1"/>
  <c r="AC7" i="1" s="1"/>
  <c r="AB9" i="1"/>
  <c r="AB7" i="1" s="1"/>
  <c r="AA9" i="1"/>
  <c r="AG8" i="1"/>
  <c r="AF8" i="1"/>
  <c r="AE8" i="1"/>
  <c r="AD8" i="1"/>
  <c r="AC8" i="1"/>
  <c r="AB8" i="1"/>
  <c r="Y13" i="1"/>
  <c r="X13" i="1"/>
  <c r="W13" i="1"/>
  <c r="V13" i="1"/>
  <c r="U13" i="1"/>
  <c r="T13" i="1"/>
  <c r="S13" i="1"/>
  <c r="Y12" i="1"/>
  <c r="X12" i="1"/>
  <c r="W12" i="1"/>
  <c r="V12" i="1"/>
  <c r="U12" i="1"/>
  <c r="T12" i="1"/>
  <c r="S12" i="1"/>
  <c r="Y11" i="1"/>
  <c r="X11" i="1"/>
  <c r="W11" i="1"/>
  <c r="V11" i="1"/>
  <c r="U11" i="1"/>
  <c r="T11" i="1"/>
  <c r="S11" i="1"/>
  <c r="Y10" i="1"/>
  <c r="X10" i="1"/>
  <c r="W10" i="1"/>
  <c r="V10" i="1"/>
  <c r="U10" i="1"/>
  <c r="T10" i="1"/>
  <c r="S10" i="1"/>
  <c r="Y9" i="1"/>
  <c r="Y7" i="1" s="1"/>
  <c r="X9" i="1"/>
  <c r="X7" i="1" s="1"/>
  <c r="W9" i="1"/>
  <c r="W7" i="1" s="1"/>
  <c r="V9" i="1"/>
  <c r="V7" i="1" s="1"/>
  <c r="U9" i="1"/>
  <c r="U7" i="1" s="1"/>
  <c r="T9" i="1"/>
  <c r="T7" i="1" s="1"/>
  <c r="S9" i="1"/>
  <c r="Y8" i="1"/>
  <c r="X8" i="1"/>
  <c r="W8" i="1"/>
  <c r="V8" i="1"/>
  <c r="U8" i="1"/>
  <c r="T8" i="1"/>
  <c r="Q13" i="1"/>
  <c r="P13" i="1"/>
  <c r="O13" i="1"/>
  <c r="N13" i="1"/>
  <c r="M13" i="1"/>
  <c r="L13" i="1"/>
  <c r="K13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Q7" i="1" s="1"/>
  <c r="P9" i="1"/>
  <c r="P7" i="1" s="1"/>
  <c r="O9" i="1"/>
  <c r="O7" i="1" s="1"/>
  <c r="N9" i="1"/>
  <c r="N7" i="1" s="1"/>
  <c r="M9" i="1"/>
  <c r="M7" i="1" s="1"/>
  <c r="L9" i="1"/>
  <c r="L7" i="1" s="1"/>
  <c r="K9" i="1"/>
  <c r="Q8" i="1"/>
  <c r="P8" i="1"/>
  <c r="O8" i="1"/>
  <c r="N8" i="1"/>
  <c r="M8" i="1"/>
  <c r="L8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I7" i="1" s="1"/>
  <c r="H9" i="1"/>
  <c r="H7" i="1" s="1"/>
  <c r="G9" i="1"/>
  <c r="G7" i="1" s="1"/>
  <c r="F9" i="1"/>
  <c r="F7" i="1" s="1"/>
  <c r="E9" i="1"/>
  <c r="E7" i="1" s="1"/>
  <c r="D9" i="1"/>
  <c r="D7" i="1" s="1"/>
  <c r="C9" i="1"/>
  <c r="I8" i="1"/>
  <c r="H8" i="1"/>
  <c r="G8" i="1"/>
  <c r="F8" i="1"/>
  <c r="E8" i="1"/>
  <c r="D8" i="1"/>
  <c r="L15" i="1" l="1"/>
  <c r="K16" i="1"/>
  <c r="S16" i="1"/>
  <c r="T15" i="1"/>
  <c r="C22" i="6"/>
  <c r="C21" i="6"/>
  <c r="C149" i="6"/>
  <c r="C150" i="6"/>
  <c r="C53" i="6"/>
  <c r="C54" i="6"/>
  <c r="C181" i="6"/>
  <c r="C182" i="6"/>
  <c r="C101" i="6"/>
  <c r="C102" i="6"/>
  <c r="AB15" i="1"/>
  <c r="AA16" i="1"/>
  <c r="C69" i="6"/>
  <c r="C70" i="6"/>
  <c r="C16" i="1"/>
  <c r="D15" i="1"/>
  <c r="C7" i="1"/>
  <c r="D6" i="1"/>
  <c r="D24" i="1"/>
  <c r="C25" i="1"/>
  <c r="L6" i="1"/>
  <c r="K7" i="1"/>
  <c r="K25" i="1"/>
  <c r="L24" i="1"/>
  <c r="C38" i="6"/>
  <c r="C37" i="6"/>
  <c r="C166" i="6"/>
  <c r="C165" i="6"/>
  <c r="S7" i="1"/>
  <c r="T6" i="1"/>
  <c r="T24" i="1"/>
  <c r="S25" i="1"/>
  <c r="C86" i="6"/>
  <c r="C85" i="6"/>
  <c r="C117" i="6"/>
  <c r="C118" i="6"/>
  <c r="AA7" i="1"/>
  <c r="AB6" i="1"/>
  <c r="AB24" i="1"/>
  <c r="AA25" i="1"/>
  <c r="C6" i="6"/>
  <c r="C5" i="6"/>
  <c r="C133" i="6"/>
  <c r="C134" i="6"/>
  <c r="Z35" i="2" a="1"/>
  <c r="Z35" i="2" s="1"/>
  <c r="C16" i="5" s="1"/>
  <c r="C15" i="5"/>
  <c r="AE31" i="2" a="1"/>
  <c r="AE31" i="2" s="1"/>
  <c r="H8" i="5" s="1"/>
  <c r="H7" i="5"/>
  <c r="AF32" i="2" a="1"/>
  <c r="AF32" i="2" s="1"/>
  <c r="I10" i="5" s="1"/>
  <c r="I9" i="5"/>
  <c r="I6" i="5" s="1"/>
  <c r="Z34" i="2" a="1"/>
  <c r="Z34" i="2" s="1"/>
  <c r="C14" i="5" s="1"/>
  <c r="C13" i="5"/>
  <c r="D15" i="5"/>
  <c r="AA35" i="2" a="1"/>
  <c r="AA35" i="2" s="1"/>
  <c r="D16" i="5" s="1"/>
  <c r="AB36" i="2" a="1"/>
  <c r="AB36" i="2" s="1"/>
  <c r="E18" i="5" s="1"/>
  <c r="E17" i="5"/>
  <c r="I7" i="5"/>
  <c r="AF31" i="2" a="1"/>
  <c r="AF31" i="2" s="1"/>
  <c r="I8" i="5" s="1"/>
  <c r="C11" i="5"/>
  <c r="Z33" i="2" a="1"/>
  <c r="Z33" i="2" s="1"/>
  <c r="C12" i="5" s="1"/>
  <c r="D13" i="5"/>
  <c r="AA34" i="2" a="1"/>
  <c r="AA34" i="2" s="1"/>
  <c r="D14" i="5" s="1"/>
  <c r="E15" i="5"/>
  <c r="AB35" i="2" a="1"/>
  <c r="AB35" i="2" s="1"/>
  <c r="E16" i="5" s="1"/>
  <c r="AC36" i="2" a="1"/>
  <c r="AC36" i="2" s="1"/>
  <c r="F18" i="5" s="1"/>
  <c r="F17" i="5"/>
  <c r="C9" i="5"/>
  <c r="C5" i="5" s="1"/>
  <c r="Z32" i="2" a="1"/>
  <c r="Z32" i="2" s="1"/>
  <c r="C10" i="5" s="1"/>
  <c r="D11" i="5"/>
  <c r="AA33" i="2" a="1"/>
  <c r="AA33" i="2" s="1"/>
  <c r="D12" i="5" s="1"/>
  <c r="AB34" i="2" a="1"/>
  <c r="AB34" i="2" s="1"/>
  <c r="E14" i="5" s="1"/>
  <c r="E13" i="5"/>
  <c r="F15" i="5"/>
  <c r="AC35" i="2" a="1"/>
  <c r="AC35" i="2" s="1"/>
  <c r="F16" i="5" s="1"/>
  <c r="AD36" i="2" a="1"/>
  <c r="AD36" i="2" s="1"/>
  <c r="G18" i="5" s="1"/>
  <c r="G17" i="5"/>
  <c r="H9" i="5"/>
  <c r="H6" i="5" s="1"/>
  <c r="AE32" i="2" a="1"/>
  <c r="AE32" i="2" s="1"/>
  <c r="H10" i="5" s="1"/>
  <c r="D9" i="5"/>
  <c r="D6" i="5" s="1"/>
  <c r="AA32" i="2" a="1"/>
  <c r="AA32" i="2" s="1"/>
  <c r="D10" i="5" s="1"/>
  <c r="AB33" i="2" a="1"/>
  <c r="AB33" i="2" s="1"/>
  <c r="E12" i="5" s="1"/>
  <c r="E11" i="5"/>
  <c r="F13" i="5"/>
  <c r="AC34" i="2" a="1"/>
  <c r="AC34" i="2" s="1"/>
  <c r="F14" i="5" s="1"/>
  <c r="AD35" i="2" a="1"/>
  <c r="AD35" i="2" s="1"/>
  <c r="G16" i="5" s="1"/>
  <c r="G15" i="5"/>
  <c r="AE36" i="2" a="1"/>
  <c r="AE36" i="2" s="1"/>
  <c r="H18" i="5" s="1"/>
  <c r="H17" i="5"/>
  <c r="G7" i="5"/>
  <c r="AD31" i="2" a="1"/>
  <c r="AD31" i="2" s="1"/>
  <c r="G8" i="5" s="1"/>
  <c r="AA36" i="2" a="1"/>
  <c r="AA36" i="2" s="1"/>
  <c r="D18" i="5" s="1"/>
  <c r="D17" i="5"/>
  <c r="AA31" i="2" a="1"/>
  <c r="AA31" i="2" s="1"/>
  <c r="D8" i="5" s="1"/>
  <c r="D7" i="5"/>
  <c r="AB32" i="2" a="1"/>
  <c r="AB32" i="2" s="1"/>
  <c r="E10" i="5" s="1"/>
  <c r="E9" i="5"/>
  <c r="E6" i="5" s="1"/>
  <c r="AC33" i="2" a="1"/>
  <c r="AC33" i="2" s="1"/>
  <c r="F12" i="5" s="1"/>
  <c r="F11" i="5"/>
  <c r="G13" i="5"/>
  <c r="AD34" i="2" a="1"/>
  <c r="AD34" i="2" s="1"/>
  <c r="G14" i="5" s="1"/>
  <c r="AE35" i="2" a="1"/>
  <c r="AE35" i="2" s="1"/>
  <c r="H16" i="5" s="1"/>
  <c r="H15" i="5"/>
  <c r="AF36" i="2" a="1"/>
  <c r="AF36" i="2" s="1"/>
  <c r="I18" i="5" s="1"/>
  <c r="I17" i="5"/>
  <c r="AF33" i="2" a="1"/>
  <c r="AF33" i="2" s="1"/>
  <c r="I12" i="5" s="1"/>
  <c r="I11" i="5"/>
  <c r="E7" i="5"/>
  <c r="AB31" i="2" a="1"/>
  <c r="AB31" i="2" s="1"/>
  <c r="E8" i="5" s="1"/>
  <c r="F9" i="5"/>
  <c r="F6" i="5" s="1"/>
  <c r="AC32" i="2" a="1"/>
  <c r="AC32" i="2" s="1"/>
  <c r="F10" i="5" s="1"/>
  <c r="G11" i="5"/>
  <c r="AD33" i="2" a="1"/>
  <c r="AD33" i="2" s="1"/>
  <c r="G12" i="5" s="1"/>
  <c r="AE34" i="2" a="1"/>
  <c r="AE34" i="2" s="1"/>
  <c r="H14" i="5" s="1"/>
  <c r="H13" i="5"/>
  <c r="AF35" i="2" a="1"/>
  <c r="AF35" i="2" s="1"/>
  <c r="I16" i="5" s="1"/>
  <c r="I15" i="5"/>
  <c r="AC31" i="2" a="1"/>
  <c r="AC31" i="2" s="1"/>
  <c r="F8" i="5" s="1"/>
  <c r="F7" i="5"/>
  <c r="AD32" i="2" a="1"/>
  <c r="AD32" i="2" s="1"/>
  <c r="G10" i="5" s="1"/>
  <c r="G9" i="5"/>
  <c r="G6" i="5" s="1"/>
  <c r="AE33" i="2" a="1"/>
  <c r="AE33" i="2" s="1"/>
  <c r="H12" i="5" s="1"/>
  <c r="H11" i="5"/>
  <c r="AF34" i="2" a="1"/>
  <c r="AF34" i="2" s="1"/>
  <c r="I14" i="5" s="1"/>
  <c r="I13" i="5"/>
  <c r="C17" i="5"/>
  <c r="Z36" i="2" a="1"/>
  <c r="Z36" i="2" s="1"/>
  <c r="C18" i="5" s="1"/>
  <c r="C6" i="5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<sst xmlns="http://schemas.openxmlformats.org/spreadsheetml/2006/main" count="113" uniqueCount="93">
  <si>
    <t>Year</t>
  </si>
  <si>
    <t>Week start</t>
  </si>
  <si>
    <t>(1 for Monday, 7 for Sunday)</t>
  </si>
  <si>
    <t>prev. weekstart</t>
  </si>
  <si>
    <t>Weekend</t>
  </si>
  <si>
    <t>Date</t>
  </si>
  <si>
    <t>Activity</t>
  </si>
  <si>
    <t>Icon</t>
  </si>
  <si>
    <t>Icon options</t>
  </si>
  <si>
    <t>📺</t>
  </si>
  <si>
    <t>✈</t>
  </si>
  <si>
    <t>🏠</t>
  </si>
  <si>
    <t>🏢</t>
  </si>
  <si>
    <t>🎂</t>
  </si>
  <si>
    <t>🎉</t>
  </si>
  <si>
    <t>⏱</t>
  </si>
  <si>
    <t>Travel</t>
  </si>
  <si>
    <t>Home stuff</t>
  </si>
  <si>
    <t>Anniversaries</t>
  </si>
  <si>
    <t>Party</t>
  </si>
  <si>
    <t>Appointment</t>
  </si>
  <si>
    <t>Video</t>
  </si>
  <si>
    <t>Type</t>
  </si>
  <si>
    <t>Work stuff</t>
  </si>
  <si>
    <t>Wedding Anniversary</t>
  </si>
  <si>
    <t>👨‍👧‍👦</t>
  </si>
  <si>
    <t>Kids stuff</t>
  </si>
  <si>
    <t>Holiday List</t>
  </si>
  <si>
    <t>Holiday</t>
  </si>
  <si>
    <t>Christmas Day</t>
  </si>
  <si>
    <t>Yes</t>
  </si>
  <si>
    <t>Upcoming Activities</t>
  </si>
  <si>
    <t>Today</t>
  </si>
  <si>
    <t>Next Activities</t>
  </si>
  <si>
    <t>Type Icon</t>
  </si>
  <si>
    <t>Date &amp; Activity</t>
  </si>
  <si>
    <t>For the Calendar (show only first 25)</t>
  </si>
  <si>
    <t>Set up your Planner here</t>
  </si>
  <si>
    <t>WEEKNUM</t>
  </si>
  <si>
    <t>Customizations</t>
  </si>
  <si>
    <t>Highlight Planner Dates?</t>
  </si>
  <si>
    <t>(1 for Sat+Sun, 2 for Sun+Mon… 11 for Sun only, 12 for Mon only)</t>
  </si>
  <si>
    <t>Change this to see calendar for another year</t>
  </si>
  <si>
    <t>Month numbers (for drop down)</t>
  </si>
  <si>
    <t>Month</t>
  </si>
  <si>
    <t>Selected Month</t>
  </si>
  <si>
    <t>Calendar</t>
  </si>
  <si>
    <t>Acts</t>
  </si>
  <si>
    <t>← Pick a month</t>
  </si>
  <si>
    <t>Any Month Calendar</t>
  </si>
  <si>
    <r>
      <t xml:space="preserve">Calculations </t>
    </r>
    <r>
      <rPr>
        <i/>
        <sz val="28"/>
        <color theme="1"/>
        <rFont val="Segoe UI Light"/>
        <family val="2"/>
      </rPr>
      <t>- Do not edit</t>
    </r>
  </si>
  <si>
    <t>New Year's Day</t>
  </si>
  <si>
    <t>Martin Luther King Jr. Birthday</t>
  </si>
  <si>
    <t>President's Day</t>
  </si>
  <si>
    <t>Memorial Day</t>
  </si>
  <si>
    <t>Juneteenth</t>
  </si>
  <si>
    <t>Independence Day</t>
  </si>
  <si>
    <t>Labor Day</t>
  </si>
  <si>
    <t>Columbus Day</t>
  </si>
  <si>
    <t>Veterans Day</t>
  </si>
  <si>
    <t>Thanksgiving Day</t>
  </si>
  <si>
    <t>Kids school re-opens</t>
  </si>
  <si>
    <t>Valentine Dinner</t>
  </si>
  <si>
    <t>House Insurance Renewal</t>
  </si>
  <si>
    <t>Livestream</t>
  </si>
  <si>
    <t>Team Away Day</t>
  </si>
  <si>
    <t>12 Month Calendar (printable)</t>
  </si>
  <si>
    <t>All Months Printable Version</t>
  </si>
  <si>
    <t>Meet Friend</t>
  </si>
  <si>
    <t>Call the Client</t>
  </si>
  <si>
    <t>Festival Celebrations</t>
  </si>
  <si>
    <t>Interspersed for Printable version</t>
  </si>
  <si>
    <t>Something</t>
  </si>
  <si>
    <t>Easter Monday</t>
  </si>
  <si>
    <t>Good Friday</t>
  </si>
  <si>
    <t>Boxing Day</t>
  </si>
  <si>
    <t>Labour Day (NZ)</t>
  </si>
  <si>
    <t>Waitangi Day</t>
  </si>
  <si>
    <t>Day after New Year's Day</t>
  </si>
  <si>
    <t>ANZAC Day</t>
  </si>
  <si>
    <t>King's Birthday</t>
  </si>
  <si>
    <t>Matariki</t>
  </si>
  <si>
    <t>Independence Day (India)</t>
  </si>
  <si>
    <t>Diwali</t>
  </si>
  <si>
    <t>Gandhi Jayanti</t>
  </si>
  <si>
    <t>Republic Day (India)</t>
  </si>
  <si>
    <t>Holi</t>
  </si>
  <si>
    <t>Fly to Hong Kong</t>
  </si>
  <si>
    <t>Road Trip</t>
  </si>
  <si>
    <t>Train to Shenzhen</t>
  </si>
  <si>
    <t>Fly to Seattle</t>
  </si>
  <si>
    <t>Return to Wellington</t>
  </si>
  <si>
    <t>Calendar &amp; Planner Template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</si>
</sst>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"/>
    <numFmt numFmtId="166" formatCode="[$-409]d\-mmm;@"/>
  </numFmts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sz val="24"/>
      <color theme="1"/>
      <name val="Segoe UI Light"/>
      <family val="2"/>
    </font>
    <font>
      <sz val="18"/>
      <color theme="1"/>
      <name val="Segoe UI Light"/>
      <family val="2"/>
    </font>
    <font>
      <sz val="10"/>
      <color theme="1" tint="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8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28"/>
      <color theme="1"/>
      <name val="Segoe UI Light"/>
      <family val="2"/>
    </font>
    <font>
      <b/>
      <sz val="24"/>
      <color theme="1"/>
      <name val="Segoe UI Black"/>
      <family val="2"/>
    </font>
    <font>
      <sz val="11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14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5" fillId="0" borderId="0" xfId="0" applyFont="1" applyAlignment="1">
      <alignment horizontal="center" vertical="center"/>
    </xf>
    <xf numFmtId="15" fontId="0" fillId="0" borderId="0" xfId="0" quotePrefix="1" applyNumberFormat="1"/>
    <xf numFmtId="0" fontId="0" fillId="4" borderId="0" xfId="0" applyFill="1"/>
    <xf numFmtId="165" fontId="3" fillId="3" borderId="6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5" fontId="0" fillId="0" borderId="0" xfId="0" applyNumberFormat="1" applyAlignment="1">
      <alignment horizontal="left"/>
    </xf>
    <xf numFmtId="0" fontId="0" fillId="5" borderId="0" xfId="0" applyFill="1"/>
    <xf numFmtId="0" fontId="0" fillId="0" borderId="16" xfId="0" applyBorder="1"/>
    <xf numFmtId="0" fontId="12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vertical="center" wrapText="1"/>
    </xf>
    <xf numFmtId="0" fontId="0" fillId="7" borderId="16" xfId="0" applyFill="1" applyBorder="1" applyAlignment="1">
      <alignment horizontal="center"/>
    </xf>
    <xf numFmtId="0" fontId="1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4" fillId="0" borderId="0" xfId="0" applyFont="1"/>
    <xf numFmtId="165" fontId="3" fillId="3" borderId="20" xfId="0" applyNumberFormat="1" applyFont="1" applyFill="1" applyBorder="1" applyAlignment="1">
      <alignment horizontal="center" vertical="center"/>
    </xf>
    <xf numFmtId="0" fontId="14" fillId="3" borderId="0" xfId="0" applyFont="1" applyFill="1"/>
    <xf numFmtId="166" fontId="0" fillId="0" borderId="0" xfId="0" applyNumberFormat="1"/>
    <xf numFmtId="0" fontId="3" fillId="3" borderId="23" xfId="0" applyFont="1" applyFill="1" applyBorder="1" applyAlignment="1">
      <alignment horizontal="center" vertical="center"/>
    </xf>
    <xf numFmtId="165" fontId="3" fillId="0" borderId="21" xfId="0" applyNumberFormat="1" applyFont="1" applyBorder="1" applyAlignment="1">
      <alignment horizontal="left" vertical="top"/>
    </xf>
    <xf numFmtId="165" fontId="3" fillId="0" borderId="24" xfId="0" applyNumberFormat="1" applyFont="1" applyBorder="1" applyAlignment="1">
      <alignment horizontal="left" vertical="top"/>
    </xf>
    <xf numFmtId="165" fontId="15" fillId="0" borderId="22" xfId="0" applyNumberFormat="1" applyFont="1" applyBorder="1" applyAlignment="1">
      <alignment horizontal="left" vertical="top" wrapText="1"/>
    </xf>
    <xf numFmtId="165" fontId="15" fillId="0" borderId="25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8" borderId="0" xfId="0" applyFill="1"/>
    <xf numFmtId="16" fontId="0" fillId="0" borderId="0" xfId="0" applyNumberFormat="1"/>
    <xf numFmtId="0" fontId="0" fillId="3" borderId="0" xfId="0" applyFill="1" applyAlignment="1">
      <alignment horizontal="center" vertical="center"/>
    </xf>
    <xf numFmtId="16" fontId="0" fillId="0" borderId="16" xfId="0" applyNumberFormat="1" applyBorder="1"/>
    <xf numFmtId="0" fontId="18" fillId="0" borderId="16" xfId="0" applyFont="1" applyBorder="1"/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numFmt numFmtId="20" formatCode="d\-mmm\-yy"/>
      <alignment horizontal="left" vertical="bottom" textRotation="0" wrapText="0" indent="0" justifyLastLine="0" shrinkToFit="0" readingOrder="0"/>
    </dxf>
    <dxf>
      <numFmt numFmtId="20" formatCode="d\-mmm\-yy"/>
      <alignment horizontal="left" vertical="bottom" textRotation="0" wrapText="0" indent="0" justifyLastLine="0" shrinkToFit="0" readingOrder="0"/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handoo.org/wp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323850</xdr:colOff>
      <xdr:row>0</xdr:row>
      <xdr:rowOff>149958</xdr:rowOff>
    </xdr:from>
    <xdr:to>
      <xdr:col>35</xdr:col>
      <xdr:colOff>2422072</xdr:colOff>
      <xdr:row>2</xdr:row>
      <xdr:rowOff>0</xdr:rowOff>
    </xdr:to>
    <xdr:pic>
      <xdr:nvPicPr>
        <xdr:cNvPr id="4" name="Picture 3" descr="A red and black text on a white background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0</xdr:row>
      <xdr:rowOff>542925</xdr:rowOff>
    </xdr:from>
    <xdr:to>
      <xdr:col>11</xdr:col>
      <xdr:colOff>0</xdr:colOff>
      <xdr:row>12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C4A8C8-60AD-3970-9F87-C62E4FCF04B3}"/>
            </a:ext>
          </a:extLst>
        </xdr:cNvPr>
        <xdr:cNvSpPr/>
      </xdr:nvSpPr>
      <xdr:spPr>
        <a:xfrm>
          <a:off x="4829175" y="542925"/>
          <a:ext cx="3048000" cy="2257425"/>
        </a:xfrm>
        <a:prstGeom prst="roundRect">
          <a:avLst>
            <a:gd name="adj" fmla="val 41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👩‍💻 How to use?</a:t>
          </a:r>
        </a:p>
        <a:p>
          <a:pPr algn="l"/>
          <a:endParaRPr lang="en-US" sz="120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</a:rPr>
            <a:t>◉ Edit existing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</a:rPr>
            <a:t> data or add rows to set up more activities.</a:t>
          </a:r>
        </a:p>
        <a:p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◉ 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</a:rPr>
            <a:t>Type dates, activitiy details and choose the type.</a:t>
          </a:r>
        </a:p>
        <a:p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◉ 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</a:rPr>
            <a:t>You can customize the "type" from "Customizations" tab.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323850</xdr:colOff>
      <xdr:row>0</xdr:row>
      <xdr:rowOff>149958</xdr:rowOff>
    </xdr:from>
    <xdr:to>
      <xdr:col>36</xdr:col>
      <xdr:colOff>371475</xdr:colOff>
      <xdr:row>1</xdr:row>
      <xdr:rowOff>123825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3EF6A-9E42-4C63-8D7C-CD487CAC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323850</xdr:colOff>
      <xdr:row>0</xdr:row>
      <xdr:rowOff>149958</xdr:rowOff>
    </xdr:from>
    <xdr:to>
      <xdr:col>38</xdr:col>
      <xdr:colOff>228600</xdr:colOff>
      <xdr:row>0</xdr:row>
      <xdr:rowOff>665372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BC16ED-C88F-4833-9D3B-1DA8FF77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7975" y="149958"/>
          <a:ext cx="1819275" cy="5154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58644-2135-4FD6-95D1-C4E2C7427BDB}" name="Plan" displayName="Plan" ref="C4:E19" totalsRowShown="0">
  <autoFilter ref="C4:E19" xr:uid="{15B58644-2135-4FD6-95D1-C4E2C7427BDB}"/>
  <tableColumns count="3">
    <tableColumn id="1" xr3:uid="{5C8AC430-7945-441D-A531-43C5FE88618E}" name="Date" dataDxfId="1"/>
    <tableColumn id="2" xr3:uid="{0874A68F-344F-4F99-91D7-97AA433405A4}" name="Activity"/>
    <tableColumn id="3" xr3:uid="{73187FAF-D049-4AF7-A2E9-3A0990000295}" name="Type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83D36-0F85-4168-80D9-FB7A090CF657}" name="icons" displayName="icons" ref="F4:G12" totalsRowShown="0">
  <autoFilter ref="F4:G12" xr:uid="{DFA83D36-0F85-4168-80D9-FB7A090CF657}"/>
  <sortState ref="F5:G11">
    <sortCondition ref="G4:G11"/>
  </sortState>
  <tableColumns count="2">
    <tableColumn id="1" xr3:uid="{0FAB2E4A-AF14-4EDF-8961-763ED37EF460}" name="Icon"/>
    <tableColumn id="2" xr3:uid="{BA0D821F-836D-4161-9217-7A562A55739B}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8F5A3E-B1E3-41FD-A696-2B67785C01ED}" name="holidays" displayName="holidays" ref="J4:K29" totalsRowShown="0">
  <autoFilter ref="J4:K29" xr:uid="{421A7CC5-69D3-432B-9C1E-D9C37C868938}"/>
  <sortState ref="J5:K29">
    <sortCondition ref="J4:J29"/>
  </sortState>
  <tableColumns count="2">
    <tableColumn id="1" xr3:uid="{B8F3741C-C0CC-4A6F-9A9A-943E0B9E1AC0}" name="Date" dataDxfId="0"/>
    <tableColumn id="2" xr3:uid="{F9299548-67A1-4D0D-BC04-304A65CC9353}" name="Holi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  <pageSetUpPr fitToPage="1"/>
  </sheetPr>
  <dimension ref="A1:AJ31"/>
  <sheetViews>
    <sheetView showGridLines="0" zoomScale="145" zoomScaleNormal="145" workbookViewId="0">
      <selection activeCell="C4" sqref="C4:AG4"/>
    </sheetView>
  </sheetViews>
  <sheetFormatPr defaultRowHeight="14.4" x14ac:dyDescent="0.55000000000000004"/>
  <cols>
    <col min="1" max="1" width="1.68359375" customWidth="1"/>
    <col min="2" max="2" width="3.68359375" customWidth="1"/>
    <col min="3" max="33" width="5.68359375" customWidth="1"/>
    <col min="34" max="34" width="3.68359375" customWidth="1"/>
    <col min="35" max="35" width="8.734375" bestFit="1" customWidth="1"/>
    <col min="36" max="36" width="35.41796875" customWidth="1"/>
    <col min="37" max="37" width="2.68359375" customWidth="1"/>
  </cols>
  <sheetData>
    <row r="1" spans="1:36" s="1" customFormat="1" ht="52.5" customHeight="1" x14ac:dyDescent="0.55000000000000004">
      <c r="A1" s="8"/>
      <c r="C1" s="2" t="s">
        <v>92</v>
      </c>
    </row>
    <row r="3" spans="1:36" ht="14.7" thickBot="1" x14ac:dyDescent="0.6"/>
    <row r="4" spans="1:36" ht="40.5" customHeight="1" thickBot="1" x14ac:dyDescent="0.6">
      <c r="C4" s="50" t="str">
        <f>cal.year&amp;" Calendar"</f>
        <v>2026 Calendar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2"/>
      <c r="AI4" s="48" t="s">
        <v>31</v>
      </c>
      <c r="AJ4" s="49"/>
    </row>
    <row r="5" spans="1:36" ht="14.7" thickBot="1" x14ac:dyDescent="0.6"/>
    <row r="6" spans="1:36" ht="27" customHeight="1" x14ac:dyDescent="0.55000000000000004">
      <c r="C6" s="20">
        <v>1</v>
      </c>
      <c r="D6" s="53" t="e">
        <f ca="1">TEXT(C9,"MMMM")</f>
        <v>#NAME?</v>
      </c>
      <c r="E6" s="54"/>
      <c r="F6" s="54"/>
      <c r="G6" s="54"/>
      <c r="H6" s="54"/>
      <c r="I6" s="55"/>
      <c r="J6" s="19"/>
      <c r="K6" s="20">
        <v>2</v>
      </c>
      <c r="L6" s="53" t="e">
        <f ca="1">TEXT(K9,"MMMM")</f>
        <v>#NAME?</v>
      </c>
      <c r="M6" s="54"/>
      <c r="N6" s="54"/>
      <c r="O6" s="54"/>
      <c r="P6" s="54"/>
      <c r="Q6" s="55"/>
      <c r="R6" s="19"/>
      <c r="S6" s="20">
        <v>3</v>
      </c>
      <c r="T6" s="53" t="e">
        <f ca="1">TEXT(S9,"MMMM")</f>
        <v>#NAME?</v>
      </c>
      <c r="U6" s="54"/>
      <c r="V6" s="54"/>
      <c r="W6" s="54"/>
      <c r="X6" s="54"/>
      <c r="Y6" s="55"/>
      <c r="Z6" s="19"/>
      <c r="AA6" s="20">
        <v>4</v>
      </c>
      <c r="AB6" s="53" t="e">
        <f ca="1">TEXT(AA9,"MMMM")</f>
        <v>#NAME?</v>
      </c>
      <c r="AC6" s="54"/>
      <c r="AD6" s="54"/>
      <c r="AE6" s="54"/>
      <c r="AF6" s="54"/>
      <c r="AG6" s="55"/>
      <c r="AI6" s="24" t="e">
        <f ca="1">Calc!R13</f>
        <v>#NAME?</v>
      </c>
      <c r="AJ6" s="25" t="str">
        <f ca="1">Calc!S13</f>
        <v>No upcoming activities</v>
      </c>
    </row>
    <row r="7" spans="1:36" ht="27" customHeight="1" x14ac:dyDescent="0.55000000000000004">
      <c r="C7" s="9" t="e">
        <f ca="1">LEFT(TEXT(C9,"DDD"),1)</f>
        <v>#NAME?</v>
      </c>
      <c r="D7" s="10" t="e">
        <f t="shared" ref="D7:I7" ca="1" si="0">LEFT(TEXT(D9,"DDD"),1)</f>
        <v>#NAME?</v>
      </c>
      <c r="E7" s="10" t="e">
        <f t="shared" ca="1" si="0"/>
        <v>#NAME?</v>
      </c>
      <c r="F7" s="10" t="e">
        <f t="shared" ca="1" si="0"/>
        <v>#NAME?</v>
      </c>
      <c r="G7" s="10" t="e">
        <f t="shared" ca="1" si="0"/>
        <v>#NAME?</v>
      </c>
      <c r="H7" s="10" t="e">
        <f t="shared" ca="1" si="0"/>
        <v>#NAME?</v>
      </c>
      <c r="I7" s="11" t="e">
        <f t="shared" ca="1" si="0"/>
        <v>#NAME?</v>
      </c>
      <c r="J7" s="18"/>
      <c r="K7" s="9" t="e">
        <f ca="1">LEFT(TEXT(K9,"DDD"),1)</f>
        <v>#NAME?</v>
      </c>
      <c r="L7" s="10" t="e">
        <f t="shared" ref="L7:Q7" ca="1" si="1">LEFT(TEXT(L9,"DDD"),1)</f>
        <v>#NAME?</v>
      </c>
      <c r="M7" s="10" t="e">
        <f t="shared" ca="1" si="1"/>
        <v>#NAME?</v>
      </c>
      <c r="N7" s="10" t="e">
        <f t="shared" ca="1" si="1"/>
        <v>#NAME?</v>
      </c>
      <c r="O7" s="10" t="e">
        <f t="shared" ca="1" si="1"/>
        <v>#NAME?</v>
      </c>
      <c r="P7" s="10" t="e">
        <f t="shared" ca="1" si="1"/>
        <v>#NAME?</v>
      </c>
      <c r="Q7" s="11" t="e">
        <f t="shared" ca="1" si="1"/>
        <v>#NAME?</v>
      </c>
      <c r="R7" s="18"/>
      <c r="S7" s="9" t="e">
        <f ca="1">LEFT(TEXT(S9,"DDD"),1)</f>
        <v>#NAME?</v>
      </c>
      <c r="T7" s="10" t="e">
        <f t="shared" ref="T7:Y7" ca="1" si="2">LEFT(TEXT(T9,"DDD"),1)</f>
        <v>#NAME?</v>
      </c>
      <c r="U7" s="10" t="e">
        <f t="shared" ca="1" si="2"/>
        <v>#NAME?</v>
      </c>
      <c r="V7" s="10" t="e">
        <f t="shared" ca="1" si="2"/>
        <v>#NAME?</v>
      </c>
      <c r="W7" s="10" t="e">
        <f t="shared" ca="1" si="2"/>
        <v>#NAME?</v>
      </c>
      <c r="X7" s="10" t="e">
        <f t="shared" ca="1" si="2"/>
        <v>#NAME?</v>
      </c>
      <c r="Y7" s="11" t="e">
        <f t="shared" ca="1" si="2"/>
        <v>#NAME?</v>
      </c>
      <c r="Z7" s="18"/>
      <c r="AA7" s="9" t="e">
        <f ca="1">LEFT(TEXT(AA9,"DDD"),1)</f>
        <v>#NAME?</v>
      </c>
      <c r="AB7" s="10" t="e">
        <f t="shared" ref="AB7:AG7" ca="1" si="3">LEFT(TEXT(AB9,"DDD"),1)</f>
        <v>#NAME?</v>
      </c>
      <c r="AC7" s="10" t="e">
        <f t="shared" ca="1" si="3"/>
        <v>#NAME?</v>
      </c>
      <c r="AD7" s="10" t="e">
        <f t="shared" ca="1" si="3"/>
        <v>#NAME?</v>
      </c>
      <c r="AE7" s="10" t="e">
        <f t="shared" ca="1" si="3"/>
        <v>#NAME?</v>
      </c>
      <c r="AF7" s="10" t="e">
        <f t="shared" ca="1" si="3"/>
        <v>#NAME?</v>
      </c>
      <c r="AG7" s="11" t="e">
        <f t="shared" ca="1" si="3"/>
        <v>#NAME?</v>
      </c>
      <c r="AI7" s="26" t="e">
        <f ca="1">Calc!R14</f>
        <v>#NAME?</v>
      </c>
      <c r="AJ7" s="27" t="e">
        <f ca="1">Calc!S14</f>
        <v>#NAME?</v>
      </c>
    </row>
    <row r="8" spans="1:36" ht="27" customHeight="1" x14ac:dyDescent="0.55000000000000004">
      <c r="C8" s="12" t="e" cm="1">
        <f t="array" aca="1" ref="C8:I13" ca="1">_xlfn.LET(_xlpm.dt, _xlfn._xlws.FILTER(monthly.calendar, month.nums=C6), IF(MONTH(_xlpm.dt)&lt;&gt;C6,"",_xlpm.dt))</f>
        <v>#NAME?</v>
      </c>
      <c r="D8" s="13" t="e">
        <f ca="1"/>
        <v>#NAME?</v>
      </c>
      <c r="E8" s="13" t="e">
        <f ca="1"/>
        <v>#NAME?</v>
      </c>
      <c r="F8" s="13" t="e">
        <f ca="1"/>
        <v>#NAME?</v>
      </c>
      <c r="G8" s="13" t="e">
        <f ca="1"/>
        <v>#NAME?</v>
      </c>
      <c r="H8" s="13" t="e">
        <f ca="1"/>
        <v>#NAME?</v>
      </c>
      <c r="I8" s="14" t="e">
        <f ca="1"/>
        <v>#NAME?</v>
      </c>
      <c r="J8" s="18"/>
      <c r="K8" s="12" t="e" cm="1">
        <f t="array" aca="1" ref="K8:Q13" ca="1">_xlfn.LET(_xlpm.dt, _xlfn._xlws.FILTER(monthly.calendar, month.nums=K6), IF(MONTH(_xlpm.dt)&lt;&gt;K6,"",_xlpm.dt))</f>
        <v>#NAME?</v>
      </c>
      <c r="L8" s="13" t="e">
        <f ca="1"/>
        <v>#NAME?</v>
      </c>
      <c r="M8" s="13" t="e">
        <f ca="1"/>
        <v>#NAME?</v>
      </c>
      <c r="N8" s="13" t="e">
        <f ca="1"/>
        <v>#NAME?</v>
      </c>
      <c r="O8" s="13" t="e">
        <f ca="1"/>
        <v>#NAME?</v>
      </c>
      <c r="P8" s="13" t="e">
        <f ca="1"/>
        <v>#NAME?</v>
      </c>
      <c r="Q8" s="14" t="e">
        <f ca="1"/>
        <v>#NAME?</v>
      </c>
      <c r="R8" s="18"/>
      <c r="S8" s="12" t="e" cm="1">
        <f t="array" aca="1" ref="S8:Y13" ca="1">_xlfn.LET(_xlpm.dt, _xlfn._xlws.FILTER(monthly.calendar, month.nums=S6), IF(MONTH(_xlpm.dt)&lt;&gt;S6,"",_xlpm.dt))</f>
        <v>#NAME?</v>
      </c>
      <c r="T8" s="13" t="e">
        <f ca="1"/>
        <v>#NAME?</v>
      </c>
      <c r="U8" s="13" t="e">
        <f ca="1"/>
        <v>#NAME?</v>
      </c>
      <c r="V8" s="13" t="e">
        <f ca="1"/>
        <v>#NAME?</v>
      </c>
      <c r="W8" s="13" t="e">
        <f ca="1"/>
        <v>#NAME?</v>
      </c>
      <c r="X8" s="13" t="e">
        <f ca="1"/>
        <v>#NAME?</v>
      </c>
      <c r="Y8" s="14" t="e">
        <f ca="1"/>
        <v>#NAME?</v>
      </c>
      <c r="Z8" s="18"/>
      <c r="AA8" s="12" t="e" cm="1">
        <f t="array" aca="1" ref="AA8:AG13" ca="1">_xlfn.LET(_xlpm.dt, _xlfn._xlws.FILTER(monthly.calendar, month.nums=AA6), IF(MONTH(_xlpm.dt)&lt;&gt;AA6,"",_xlpm.dt))</f>
        <v>#NAME?</v>
      </c>
      <c r="AB8" s="13" t="e">
        <f ca="1"/>
        <v>#NAME?</v>
      </c>
      <c r="AC8" s="13" t="e">
        <f ca="1"/>
        <v>#NAME?</v>
      </c>
      <c r="AD8" s="13" t="e">
        <f ca="1"/>
        <v>#NAME?</v>
      </c>
      <c r="AE8" s="13" t="e">
        <f ca="1"/>
        <v>#NAME?</v>
      </c>
      <c r="AF8" s="13" t="e">
        <f ca="1"/>
        <v>#NAME?</v>
      </c>
      <c r="AG8" s="14" t="e">
        <f ca="1"/>
        <v>#NAME?</v>
      </c>
      <c r="AI8" s="26" t="e">
        <f ca="1">Calc!R15</f>
        <v>#NAME?</v>
      </c>
      <c r="AJ8" s="27" t="e">
        <f ca="1">Calc!S15</f>
        <v>#NAME?</v>
      </c>
    </row>
    <row r="9" spans="1:36" ht="27" customHeight="1" x14ac:dyDescent="0.55000000000000004">
      <c r="C9" s="12" t="e">
        <f ca="1"/>
        <v>#NAME?</v>
      </c>
      <c r="D9" s="13" t="e">
        <f ca="1"/>
        <v>#NAME?</v>
      </c>
      <c r="E9" s="13" t="e">
        <f ca="1"/>
        <v>#NAME?</v>
      </c>
      <c r="F9" s="13" t="e">
        <f ca="1"/>
        <v>#NAME?</v>
      </c>
      <c r="G9" s="13" t="e">
        <f ca="1"/>
        <v>#NAME?</v>
      </c>
      <c r="H9" s="13" t="e">
        <f ca="1"/>
        <v>#NAME?</v>
      </c>
      <c r="I9" s="14" t="e">
        <f ca="1"/>
        <v>#NAME?</v>
      </c>
      <c r="J9" s="18"/>
      <c r="K9" s="12" t="e">
        <f ca="1"/>
        <v>#NAME?</v>
      </c>
      <c r="L9" s="13" t="e">
        <f ca="1"/>
        <v>#NAME?</v>
      </c>
      <c r="M9" s="13" t="e">
        <f ca="1"/>
        <v>#NAME?</v>
      </c>
      <c r="N9" s="13" t="e">
        <f ca="1"/>
        <v>#NAME?</v>
      </c>
      <c r="O9" s="13" t="e">
        <f ca="1"/>
        <v>#NAME?</v>
      </c>
      <c r="P9" s="13" t="e">
        <f ca="1"/>
        <v>#NAME?</v>
      </c>
      <c r="Q9" s="14" t="e">
        <f ca="1"/>
        <v>#NAME?</v>
      </c>
      <c r="R9" s="18"/>
      <c r="S9" s="12" t="e">
        <f ca="1"/>
        <v>#NAME?</v>
      </c>
      <c r="T9" s="13" t="e">
        <f ca="1"/>
        <v>#NAME?</v>
      </c>
      <c r="U9" s="13" t="e">
        <f ca="1"/>
        <v>#NAME?</v>
      </c>
      <c r="V9" s="13" t="e">
        <f ca="1"/>
        <v>#NAME?</v>
      </c>
      <c r="W9" s="13" t="e">
        <f ca="1"/>
        <v>#NAME?</v>
      </c>
      <c r="X9" s="13" t="e">
        <f ca="1"/>
        <v>#NAME?</v>
      </c>
      <c r="Y9" s="14" t="e">
        <f ca="1"/>
        <v>#NAME?</v>
      </c>
      <c r="Z9" s="18"/>
      <c r="AA9" s="12" t="e">
        <f ca="1"/>
        <v>#NAME?</v>
      </c>
      <c r="AB9" s="13" t="e">
        <f ca="1"/>
        <v>#NAME?</v>
      </c>
      <c r="AC9" s="13" t="e">
        <f ca="1"/>
        <v>#NAME?</v>
      </c>
      <c r="AD9" s="13" t="e">
        <f ca="1"/>
        <v>#NAME?</v>
      </c>
      <c r="AE9" s="13" t="e">
        <f ca="1"/>
        <v>#NAME?</v>
      </c>
      <c r="AF9" s="13" t="e">
        <f ca="1"/>
        <v>#NAME?</v>
      </c>
      <c r="AG9" s="14" t="e">
        <f ca="1"/>
        <v>#NAME?</v>
      </c>
      <c r="AI9" s="26" t="e">
        <f ca="1">Calc!R16</f>
        <v>#NAME?</v>
      </c>
      <c r="AJ9" s="27" t="e">
        <f ca="1">Calc!S16</f>
        <v>#NAME?</v>
      </c>
    </row>
    <row r="10" spans="1:36" ht="27" customHeight="1" x14ac:dyDescent="0.55000000000000004">
      <c r="C10" s="12" t="e">
        <f ca="1"/>
        <v>#NAME?</v>
      </c>
      <c r="D10" s="13" t="e">
        <f ca="1"/>
        <v>#NAME?</v>
      </c>
      <c r="E10" s="13" t="e">
        <f ca="1"/>
        <v>#NAME?</v>
      </c>
      <c r="F10" s="13" t="e">
        <f ca="1"/>
        <v>#NAME?</v>
      </c>
      <c r="G10" s="13" t="e">
        <f ca="1"/>
        <v>#NAME?</v>
      </c>
      <c r="H10" s="13" t="e">
        <f ca="1"/>
        <v>#NAME?</v>
      </c>
      <c r="I10" s="14" t="e">
        <f ca="1"/>
        <v>#NAME?</v>
      </c>
      <c r="J10" s="18"/>
      <c r="K10" s="12" t="e">
        <f ca="1"/>
        <v>#NAME?</v>
      </c>
      <c r="L10" s="13" t="e">
        <f ca="1"/>
        <v>#NAME?</v>
      </c>
      <c r="M10" s="13" t="e">
        <f ca="1"/>
        <v>#NAME?</v>
      </c>
      <c r="N10" s="13" t="e">
        <f ca="1"/>
        <v>#NAME?</v>
      </c>
      <c r="O10" s="13" t="e">
        <f ca="1"/>
        <v>#NAME?</v>
      </c>
      <c r="P10" s="13" t="e">
        <f ca="1"/>
        <v>#NAME?</v>
      </c>
      <c r="Q10" s="14" t="e">
        <f ca="1"/>
        <v>#NAME?</v>
      </c>
      <c r="R10" s="18"/>
      <c r="S10" s="12" t="e">
        <f ca="1"/>
        <v>#NAME?</v>
      </c>
      <c r="T10" s="13" t="e">
        <f ca="1"/>
        <v>#NAME?</v>
      </c>
      <c r="U10" s="13" t="e">
        <f ca="1"/>
        <v>#NAME?</v>
      </c>
      <c r="V10" s="13" t="e">
        <f ca="1"/>
        <v>#NAME?</v>
      </c>
      <c r="W10" s="13" t="e">
        <f ca="1"/>
        <v>#NAME?</v>
      </c>
      <c r="X10" s="13" t="e">
        <f ca="1"/>
        <v>#NAME?</v>
      </c>
      <c r="Y10" s="14" t="e">
        <f ca="1"/>
        <v>#NAME?</v>
      </c>
      <c r="Z10" s="18"/>
      <c r="AA10" s="12" t="e">
        <f ca="1"/>
        <v>#NAME?</v>
      </c>
      <c r="AB10" s="13" t="e">
        <f ca="1"/>
        <v>#NAME?</v>
      </c>
      <c r="AC10" s="13" t="e">
        <f ca="1"/>
        <v>#NAME?</v>
      </c>
      <c r="AD10" s="13" t="e">
        <f ca="1"/>
        <v>#NAME?</v>
      </c>
      <c r="AE10" s="13" t="e">
        <f ca="1"/>
        <v>#NAME?</v>
      </c>
      <c r="AF10" s="13" t="e">
        <f ca="1"/>
        <v>#NAME?</v>
      </c>
      <c r="AG10" s="14" t="e">
        <f ca="1"/>
        <v>#NAME?</v>
      </c>
      <c r="AI10" s="26" t="e">
        <f ca="1">Calc!R17</f>
        <v>#NAME?</v>
      </c>
      <c r="AJ10" s="27" t="e">
        <f ca="1">Calc!S17</f>
        <v>#NAME?</v>
      </c>
    </row>
    <row r="11" spans="1:36" ht="27" customHeight="1" x14ac:dyDescent="0.55000000000000004">
      <c r="C11" s="12" t="e">
        <f ca="1"/>
        <v>#NAME?</v>
      </c>
      <c r="D11" s="13" t="e">
        <f ca="1"/>
        <v>#NAME?</v>
      </c>
      <c r="E11" s="13" t="e">
        <f ca="1"/>
        <v>#NAME?</v>
      </c>
      <c r="F11" s="13" t="e">
        <f ca="1"/>
        <v>#NAME?</v>
      </c>
      <c r="G11" s="13" t="e">
        <f ca="1"/>
        <v>#NAME?</v>
      </c>
      <c r="H11" s="13" t="e">
        <f ca="1"/>
        <v>#NAME?</v>
      </c>
      <c r="I11" s="14" t="e">
        <f ca="1"/>
        <v>#NAME?</v>
      </c>
      <c r="J11" s="18"/>
      <c r="K11" s="12" t="e">
        <f ca="1"/>
        <v>#NAME?</v>
      </c>
      <c r="L11" s="13" t="e">
        <f ca="1"/>
        <v>#NAME?</v>
      </c>
      <c r="M11" s="13" t="e">
        <f ca="1"/>
        <v>#NAME?</v>
      </c>
      <c r="N11" s="13" t="e">
        <f ca="1"/>
        <v>#NAME?</v>
      </c>
      <c r="O11" s="13" t="e">
        <f ca="1"/>
        <v>#NAME?</v>
      </c>
      <c r="P11" s="13" t="e">
        <f ca="1"/>
        <v>#NAME?</v>
      </c>
      <c r="Q11" s="14" t="e">
        <f ca="1"/>
        <v>#NAME?</v>
      </c>
      <c r="R11" s="18"/>
      <c r="S11" s="12" t="e">
        <f ca="1"/>
        <v>#NAME?</v>
      </c>
      <c r="T11" s="13" t="e">
        <f ca="1"/>
        <v>#NAME?</v>
      </c>
      <c r="U11" s="13" t="e">
        <f ca="1"/>
        <v>#NAME?</v>
      </c>
      <c r="V11" s="13" t="e">
        <f ca="1"/>
        <v>#NAME?</v>
      </c>
      <c r="W11" s="13" t="e">
        <f ca="1"/>
        <v>#NAME?</v>
      </c>
      <c r="X11" s="13" t="e">
        <f ca="1"/>
        <v>#NAME?</v>
      </c>
      <c r="Y11" s="14" t="e">
        <f ca="1"/>
        <v>#NAME?</v>
      </c>
      <c r="Z11" s="18"/>
      <c r="AA11" s="12" t="e">
        <f ca="1"/>
        <v>#NAME?</v>
      </c>
      <c r="AB11" s="13" t="e">
        <f ca="1"/>
        <v>#NAME?</v>
      </c>
      <c r="AC11" s="13" t="e">
        <f ca="1"/>
        <v>#NAME?</v>
      </c>
      <c r="AD11" s="13" t="e">
        <f ca="1"/>
        <v>#NAME?</v>
      </c>
      <c r="AE11" s="13" t="e">
        <f ca="1"/>
        <v>#NAME?</v>
      </c>
      <c r="AF11" s="13" t="e">
        <f ca="1"/>
        <v>#NAME?</v>
      </c>
      <c r="AG11" s="14" t="e">
        <f ca="1"/>
        <v>#NAME?</v>
      </c>
      <c r="AI11" s="26" t="e">
        <f ca="1">Calc!R18</f>
        <v>#NAME?</v>
      </c>
      <c r="AJ11" s="27" t="e">
        <f ca="1">Calc!S18</f>
        <v>#NAME?</v>
      </c>
    </row>
    <row r="12" spans="1:36" ht="27" customHeight="1" x14ac:dyDescent="0.55000000000000004">
      <c r="C12" s="12" t="e">
        <f ca="1"/>
        <v>#NAME?</v>
      </c>
      <c r="D12" s="13" t="e">
        <f ca="1"/>
        <v>#NAME?</v>
      </c>
      <c r="E12" s="13" t="e">
        <f ca="1"/>
        <v>#NAME?</v>
      </c>
      <c r="F12" s="13" t="e">
        <f ca="1"/>
        <v>#NAME?</v>
      </c>
      <c r="G12" s="13" t="e">
        <f ca="1"/>
        <v>#NAME?</v>
      </c>
      <c r="H12" s="13" t="e">
        <f ca="1"/>
        <v>#NAME?</v>
      </c>
      <c r="I12" s="14" t="e">
        <f ca="1"/>
        <v>#NAME?</v>
      </c>
      <c r="J12" s="18"/>
      <c r="K12" s="12" t="e">
        <f ca="1"/>
        <v>#NAME?</v>
      </c>
      <c r="L12" s="13" t="e">
        <f ca="1"/>
        <v>#NAME?</v>
      </c>
      <c r="M12" s="13" t="e">
        <f ca="1"/>
        <v>#NAME?</v>
      </c>
      <c r="N12" s="13" t="e">
        <f ca="1"/>
        <v>#NAME?</v>
      </c>
      <c r="O12" s="13" t="e">
        <f ca="1"/>
        <v>#NAME?</v>
      </c>
      <c r="P12" s="13" t="e">
        <f ca="1"/>
        <v>#NAME?</v>
      </c>
      <c r="Q12" s="14" t="e">
        <f ca="1"/>
        <v>#NAME?</v>
      </c>
      <c r="R12" s="18"/>
      <c r="S12" s="12" t="e">
        <f ca="1"/>
        <v>#NAME?</v>
      </c>
      <c r="T12" s="13" t="e">
        <f ca="1"/>
        <v>#NAME?</v>
      </c>
      <c r="U12" s="13" t="e">
        <f ca="1"/>
        <v>#NAME?</v>
      </c>
      <c r="V12" s="13" t="e">
        <f ca="1"/>
        <v>#NAME?</v>
      </c>
      <c r="W12" s="13" t="e">
        <f ca="1"/>
        <v>#NAME?</v>
      </c>
      <c r="X12" s="13" t="e">
        <f ca="1"/>
        <v>#NAME?</v>
      </c>
      <c r="Y12" s="14" t="e">
        <f ca="1"/>
        <v>#NAME?</v>
      </c>
      <c r="Z12" s="18"/>
      <c r="AA12" s="12" t="e">
        <f ca="1"/>
        <v>#NAME?</v>
      </c>
      <c r="AB12" s="13" t="e">
        <f ca="1"/>
        <v>#NAME?</v>
      </c>
      <c r="AC12" s="13" t="e">
        <f ca="1"/>
        <v>#NAME?</v>
      </c>
      <c r="AD12" s="13" t="e">
        <f ca="1"/>
        <v>#NAME?</v>
      </c>
      <c r="AE12" s="13" t="e">
        <f ca="1"/>
        <v>#NAME?</v>
      </c>
      <c r="AF12" s="13" t="e">
        <f ca="1"/>
        <v>#NAME?</v>
      </c>
      <c r="AG12" s="14" t="e">
        <f ca="1"/>
        <v>#NAME?</v>
      </c>
      <c r="AI12" s="26" t="e">
        <f ca="1">Calc!R19</f>
        <v>#NAME?</v>
      </c>
      <c r="AJ12" s="27" t="e">
        <f ca="1">Calc!S19</f>
        <v>#NAME?</v>
      </c>
    </row>
    <row r="13" spans="1:36" ht="27" customHeight="1" thickBot="1" x14ac:dyDescent="0.6">
      <c r="C13" s="15" t="e">
        <f ca="1"/>
        <v>#NAME?</v>
      </c>
      <c r="D13" s="16" t="e">
        <f ca="1"/>
        <v>#NAME?</v>
      </c>
      <c r="E13" s="16" t="e">
        <f ca="1"/>
        <v>#NAME?</v>
      </c>
      <c r="F13" s="16" t="e">
        <f ca="1"/>
        <v>#NAME?</v>
      </c>
      <c r="G13" s="16" t="e">
        <f ca="1"/>
        <v>#NAME?</v>
      </c>
      <c r="H13" s="16" t="e">
        <f ca="1"/>
        <v>#NAME?</v>
      </c>
      <c r="I13" s="17" t="e">
        <f ca="1"/>
        <v>#NAME?</v>
      </c>
      <c r="J13" s="18"/>
      <c r="K13" s="15" t="e">
        <f ca="1"/>
        <v>#NAME?</v>
      </c>
      <c r="L13" s="16" t="e">
        <f ca="1"/>
        <v>#NAME?</v>
      </c>
      <c r="M13" s="16" t="e">
        <f ca="1"/>
        <v>#NAME?</v>
      </c>
      <c r="N13" s="16" t="e">
        <f ca="1"/>
        <v>#NAME?</v>
      </c>
      <c r="O13" s="16" t="e">
        <f ca="1"/>
        <v>#NAME?</v>
      </c>
      <c r="P13" s="16" t="e">
        <f ca="1"/>
        <v>#NAME?</v>
      </c>
      <c r="Q13" s="17" t="e">
        <f ca="1"/>
        <v>#NAME?</v>
      </c>
      <c r="R13" s="18"/>
      <c r="S13" s="15" t="e">
        <f ca="1"/>
        <v>#NAME?</v>
      </c>
      <c r="T13" s="16" t="e">
        <f ca="1"/>
        <v>#NAME?</v>
      </c>
      <c r="U13" s="16" t="e">
        <f ca="1"/>
        <v>#NAME?</v>
      </c>
      <c r="V13" s="16" t="e">
        <f ca="1"/>
        <v>#NAME?</v>
      </c>
      <c r="W13" s="16" t="e">
        <f ca="1"/>
        <v>#NAME?</v>
      </c>
      <c r="X13" s="16" t="e">
        <f ca="1"/>
        <v>#NAME?</v>
      </c>
      <c r="Y13" s="17" t="e">
        <f ca="1"/>
        <v>#NAME?</v>
      </c>
      <c r="Z13" s="18"/>
      <c r="AA13" s="15" t="e">
        <f ca="1"/>
        <v>#NAME?</v>
      </c>
      <c r="AB13" s="16" t="e">
        <f ca="1"/>
        <v>#NAME?</v>
      </c>
      <c r="AC13" s="16" t="e">
        <f ca="1"/>
        <v>#NAME?</v>
      </c>
      <c r="AD13" s="16" t="e">
        <f ca="1"/>
        <v>#NAME?</v>
      </c>
      <c r="AE13" s="16" t="e">
        <f ca="1"/>
        <v>#NAME?</v>
      </c>
      <c r="AF13" s="16" t="e">
        <f ca="1"/>
        <v>#NAME?</v>
      </c>
      <c r="AG13" s="17" t="e">
        <f ca="1"/>
        <v>#NAME?</v>
      </c>
      <c r="AI13" s="26" t="e">
        <f ca="1">Calc!R20</f>
        <v>#NAME?</v>
      </c>
      <c r="AJ13" s="27" t="e">
        <f ca="1">Calc!S20</f>
        <v>#NAME?</v>
      </c>
    </row>
    <row r="14" spans="1:36" ht="27" customHeight="1" thickBot="1" x14ac:dyDescent="0.6"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I14" s="26" t="e">
        <f ca="1">Calc!R21</f>
        <v>#NAME?</v>
      </c>
      <c r="AJ14" s="27" t="e">
        <f ca="1">Calc!S21</f>
        <v>#NAME?</v>
      </c>
    </row>
    <row r="15" spans="1:36" ht="27" customHeight="1" x14ac:dyDescent="0.55000000000000004">
      <c r="C15" s="20">
        <v>5</v>
      </c>
      <c r="D15" s="53" t="e">
        <f ca="1">TEXT(C18,"MMMM")</f>
        <v>#NAME?</v>
      </c>
      <c r="E15" s="54"/>
      <c r="F15" s="54"/>
      <c r="G15" s="54"/>
      <c r="H15" s="54"/>
      <c r="I15" s="55"/>
      <c r="J15" s="19"/>
      <c r="K15" s="20">
        <v>6</v>
      </c>
      <c r="L15" s="53" t="e">
        <f ca="1">TEXT(K18,"MMMM")</f>
        <v>#NAME?</v>
      </c>
      <c r="M15" s="54"/>
      <c r="N15" s="54"/>
      <c r="O15" s="54"/>
      <c r="P15" s="54"/>
      <c r="Q15" s="55"/>
      <c r="R15" s="19"/>
      <c r="S15" s="20">
        <v>7</v>
      </c>
      <c r="T15" s="53" t="e">
        <f ca="1">TEXT(S18,"MMMM")</f>
        <v>#NAME?</v>
      </c>
      <c r="U15" s="54"/>
      <c r="V15" s="54"/>
      <c r="W15" s="54"/>
      <c r="X15" s="54"/>
      <c r="Y15" s="55"/>
      <c r="Z15" s="19"/>
      <c r="AA15" s="20">
        <v>8</v>
      </c>
      <c r="AB15" s="53" t="e">
        <f ca="1">TEXT(AA18,"MMMM")</f>
        <v>#NAME?</v>
      </c>
      <c r="AC15" s="54"/>
      <c r="AD15" s="54"/>
      <c r="AE15" s="54"/>
      <c r="AF15" s="54"/>
      <c r="AG15" s="55"/>
      <c r="AI15" s="26" t="e">
        <f ca="1">Calc!R22</f>
        <v>#NAME?</v>
      </c>
      <c r="AJ15" s="27" t="e">
        <f ca="1">Calc!S22</f>
        <v>#NAME?</v>
      </c>
    </row>
    <row r="16" spans="1:36" ht="27" customHeight="1" x14ac:dyDescent="0.55000000000000004">
      <c r="C16" s="9" t="e">
        <f ca="1">LEFT(TEXT(C18,"DDD"),1)</f>
        <v>#NAME?</v>
      </c>
      <c r="D16" s="10" t="e">
        <f t="shared" ref="D16:I16" ca="1" si="4">LEFT(TEXT(D18,"DDD"),1)</f>
        <v>#NAME?</v>
      </c>
      <c r="E16" s="10" t="e">
        <f t="shared" ca="1" si="4"/>
        <v>#NAME?</v>
      </c>
      <c r="F16" s="10" t="e">
        <f t="shared" ca="1" si="4"/>
        <v>#NAME?</v>
      </c>
      <c r="G16" s="10" t="e">
        <f t="shared" ca="1" si="4"/>
        <v>#NAME?</v>
      </c>
      <c r="H16" s="10" t="e">
        <f t="shared" ca="1" si="4"/>
        <v>#NAME?</v>
      </c>
      <c r="I16" s="11" t="e">
        <f t="shared" ca="1" si="4"/>
        <v>#NAME?</v>
      </c>
      <c r="J16" s="18"/>
      <c r="K16" s="9" t="e">
        <f ca="1">LEFT(TEXT(K18,"DDD"),1)</f>
        <v>#NAME?</v>
      </c>
      <c r="L16" s="10" t="e">
        <f t="shared" ref="L16:Q16" ca="1" si="5">LEFT(TEXT(L18,"DDD"),1)</f>
        <v>#NAME?</v>
      </c>
      <c r="M16" s="10" t="e">
        <f t="shared" ca="1" si="5"/>
        <v>#NAME?</v>
      </c>
      <c r="N16" s="10" t="e">
        <f t="shared" ca="1" si="5"/>
        <v>#NAME?</v>
      </c>
      <c r="O16" s="10" t="e">
        <f t="shared" ca="1" si="5"/>
        <v>#NAME?</v>
      </c>
      <c r="P16" s="10" t="e">
        <f t="shared" ca="1" si="5"/>
        <v>#NAME?</v>
      </c>
      <c r="Q16" s="11" t="e">
        <f t="shared" ca="1" si="5"/>
        <v>#NAME?</v>
      </c>
      <c r="R16" s="18"/>
      <c r="S16" s="9" t="e">
        <f ca="1">LEFT(TEXT(S18,"DDD"),1)</f>
        <v>#NAME?</v>
      </c>
      <c r="T16" s="10" t="e">
        <f t="shared" ref="T16:Y16" ca="1" si="6">LEFT(TEXT(T18,"DDD"),1)</f>
        <v>#NAME?</v>
      </c>
      <c r="U16" s="10" t="e">
        <f t="shared" ca="1" si="6"/>
        <v>#NAME?</v>
      </c>
      <c r="V16" s="10" t="e">
        <f t="shared" ca="1" si="6"/>
        <v>#NAME?</v>
      </c>
      <c r="W16" s="10" t="e">
        <f t="shared" ca="1" si="6"/>
        <v>#NAME?</v>
      </c>
      <c r="X16" s="10" t="e">
        <f t="shared" ca="1" si="6"/>
        <v>#NAME?</v>
      </c>
      <c r="Y16" s="11" t="e">
        <f t="shared" ca="1" si="6"/>
        <v>#NAME?</v>
      </c>
      <c r="Z16" s="18"/>
      <c r="AA16" s="9" t="e">
        <f ca="1">LEFT(TEXT(AA18,"DDD"),1)</f>
        <v>#NAME?</v>
      </c>
      <c r="AB16" s="10" t="e">
        <f t="shared" ref="AB16:AG16" ca="1" si="7">LEFT(TEXT(AB18,"DDD"),1)</f>
        <v>#NAME?</v>
      </c>
      <c r="AC16" s="10" t="e">
        <f t="shared" ca="1" si="7"/>
        <v>#NAME?</v>
      </c>
      <c r="AD16" s="10" t="e">
        <f t="shared" ca="1" si="7"/>
        <v>#NAME?</v>
      </c>
      <c r="AE16" s="10" t="e">
        <f t="shared" ca="1" si="7"/>
        <v>#NAME?</v>
      </c>
      <c r="AF16" s="10" t="e">
        <f t="shared" ca="1" si="7"/>
        <v>#NAME?</v>
      </c>
      <c r="AG16" s="11" t="e">
        <f t="shared" ca="1" si="7"/>
        <v>#NAME?</v>
      </c>
      <c r="AI16" s="26" t="e">
        <f ca="1">Calc!R23</f>
        <v>#NAME?</v>
      </c>
      <c r="AJ16" s="27" t="e">
        <f ca="1">Calc!S23</f>
        <v>#NAME?</v>
      </c>
    </row>
    <row r="17" spans="3:36" ht="27" customHeight="1" x14ac:dyDescent="0.55000000000000004">
      <c r="C17" s="12" t="e" cm="1">
        <f t="array" aca="1" ref="C17:I22" ca="1">_xlfn.LET(_xlpm.dt, _xlfn._xlws.FILTER(monthly.calendar, month.nums=C15), IF(MONTH(_xlpm.dt)&lt;&gt;C15,"",_xlpm.dt))</f>
        <v>#NAME?</v>
      </c>
      <c r="D17" s="13" t="e">
        <f ca="1"/>
        <v>#NAME?</v>
      </c>
      <c r="E17" s="13" t="e">
        <f ca="1"/>
        <v>#NAME?</v>
      </c>
      <c r="F17" s="13" t="e">
        <f ca="1"/>
        <v>#NAME?</v>
      </c>
      <c r="G17" s="13" t="e">
        <f ca="1"/>
        <v>#NAME?</v>
      </c>
      <c r="H17" s="13" t="e">
        <f ca="1"/>
        <v>#NAME?</v>
      </c>
      <c r="I17" s="14" t="e">
        <f ca="1"/>
        <v>#NAME?</v>
      </c>
      <c r="J17" s="18"/>
      <c r="K17" s="12" t="e" cm="1">
        <f t="array" aca="1" ref="K17:Q22" ca="1">_xlfn.LET(_xlpm.dt, _xlfn._xlws.FILTER(monthly.calendar, month.nums=K15), IF(MONTH(_xlpm.dt)&lt;&gt;K15,"",_xlpm.dt))</f>
        <v>#NAME?</v>
      </c>
      <c r="L17" s="13" t="e">
        <f ca="1"/>
        <v>#NAME?</v>
      </c>
      <c r="M17" s="13" t="e">
        <f ca="1"/>
        <v>#NAME?</v>
      </c>
      <c r="N17" s="13" t="e">
        <f ca="1"/>
        <v>#NAME?</v>
      </c>
      <c r="O17" s="13" t="e">
        <f ca="1"/>
        <v>#NAME?</v>
      </c>
      <c r="P17" s="13" t="e">
        <f ca="1"/>
        <v>#NAME?</v>
      </c>
      <c r="Q17" s="14" t="e">
        <f ca="1"/>
        <v>#NAME?</v>
      </c>
      <c r="R17" s="18"/>
      <c r="S17" s="12" t="e" cm="1">
        <f t="array" aca="1" ref="S17:Y22" ca="1">_xlfn.LET(_xlpm.dt, _xlfn._xlws.FILTER(monthly.calendar, month.nums=S15), IF(MONTH(_xlpm.dt)&lt;&gt;S15,"",_xlpm.dt))</f>
        <v>#NAME?</v>
      </c>
      <c r="T17" s="13" t="e">
        <f ca="1"/>
        <v>#NAME?</v>
      </c>
      <c r="U17" s="13" t="e">
        <f ca="1"/>
        <v>#NAME?</v>
      </c>
      <c r="V17" s="13" t="e">
        <f ca="1"/>
        <v>#NAME?</v>
      </c>
      <c r="W17" s="13" t="e">
        <f ca="1"/>
        <v>#NAME?</v>
      </c>
      <c r="X17" s="13" t="e">
        <f ca="1"/>
        <v>#NAME?</v>
      </c>
      <c r="Y17" s="14" t="e">
        <f ca="1"/>
        <v>#NAME?</v>
      </c>
      <c r="Z17" s="18"/>
      <c r="AA17" s="12" t="e" cm="1">
        <f t="array" aca="1" ref="AA17:AG22" ca="1">_xlfn.LET(_xlpm.dt, _xlfn._xlws.FILTER(monthly.calendar, month.nums=AA15), IF(MONTH(_xlpm.dt)&lt;&gt;AA15,"",_xlpm.dt))</f>
        <v>#NAME?</v>
      </c>
      <c r="AB17" s="13" t="e">
        <f ca="1"/>
        <v>#NAME?</v>
      </c>
      <c r="AC17" s="13" t="e">
        <f ca="1"/>
        <v>#NAME?</v>
      </c>
      <c r="AD17" s="13" t="e">
        <f ca="1"/>
        <v>#NAME?</v>
      </c>
      <c r="AE17" s="13" t="e">
        <f ca="1"/>
        <v>#NAME?</v>
      </c>
      <c r="AF17" s="13" t="e">
        <f ca="1"/>
        <v>#NAME?</v>
      </c>
      <c r="AG17" s="14" t="e">
        <f ca="1"/>
        <v>#NAME?</v>
      </c>
      <c r="AI17" s="26" t="e">
        <f ca="1">Calc!R24</f>
        <v>#NAME?</v>
      </c>
      <c r="AJ17" s="27" t="e">
        <f ca="1">Calc!S24</f>
        <v>#NAME?</v>
      </c>
    </row>
    <row r="18" spans="3:36" ht="27" customHeight="1" x14ac:dyDescent="0.55000000000000004">
      <c r="C18" s="12" t="e">
        <f ca="1"/>
        <v>#NAME?</v>
      </c>
      <c r="D18" s="13" t="e">
        <f ca="1"/>
        <v>#NAME?</v>
      </c>
      <c r="E18" s="13" t="e">
        <f ca="1"/>
        <v>#NAME?</v>
      </c>
      <c r="F18" s="13" t="e">
        <f ca="1"/>
        <v>#NAME?</v>
      </c>
      <c r="G18" s="13" t="e">
        <f ca="1"/>
        <v>#NAME?</v>
      </c>
      <c r="H18" s="13" t="e">
        <f ca="1"/>
        <v>#NAME?</v>
      </c>
      <c r="I18" s="14" t="e">
        <f ca="1"/>
        <v>#NAME?</v>
      </c>
      <c r="J18" s="18"/>
      <c r="K18" s="12" t="e">
        <f ca="1"/>
        <v>#NAME?</v>
      </c>
      <c r="L18" s="13" t="e">
        <f ca="1"/>
        <v>#NAME?</v>
      </c>
      <c r="M18" s="13" t="e">
        <f ca="1"/>
        <v>#NAME?</v>
      </c>
      <c r="N18" s="13" t="e">
        <f ca="1"/>
        <v>#NAME?</v>
      </c>
      <c r="O18" s="13" t="e">
        <f ca="1"/>
        <v>#NAME?</v>
      </c>
      <c r="P18" s="13" t="e">
        <f ca="1"/>
        <v>#NAME?</v>
      </c>
      <c r="Q18" s="14" t="e">
        <f ca="1"/>
        <v>#NAME?</v>
      </c>
      <c r="R18" s="18"/>
      <c r="S18" s="12" t="e">
        <f ca="1"/>
        <v>#NAME?</v>
      </c>
      <c r="T18" s="13" t="e">
        <f ca="1"/>
        <v>#NAME?</v>
      </c>
      <c r="U18" s="13" t="e">
        <f ca="1"/>
        <v>#NAME?</v>
      </c>
      <c r="V18" s="13" t="e">
        <f ca="1"/>
        <v>#NAME?</v>
      </c>
      <c r="W18" s="13" t="e">
        <f ca="1"/>
        <v>#NAME?</v>
      </c>
      <c r="X18" s="13" t="e">
        <f ca="1"/>
        <v>#NAME?</v>
      </c>
      <c r="Y18" s="14" t="e">
        <f ca="1"/>
        <v>#NAME?</v>
      </c>
      <c r="Z18" s="18"/>
      <c r="AA18" s="12" t="e">
        <f ca="1"/>
        <v>#NAME?</v>
      </c>
      <c r="AB18" s="13" t="e">
        <f ca="1"/>
        <v>#NAME?</v>
      </c>
      <c r="AC18" s="13" t="e">
        <f ca="1"/>
        <v>#NAME?</v>
      </c>
      <c r="AD18" s="13" t="e">
        <f ca="1"/>
        <v>#NAME?</v>
      </c>
      <c r="AE18" s="13" t="e">
        <f ca="1"/>
        <v>#NAME?</v>
      </c>
      <c r="AF18" s="13" t="e">
        <f ca="1"/>
        <v>#NAME?</v>
      </c>
      <c r="AG18" s="14" t="e">
        <f ca="1"/>
        <v>#NAME?</v>
      </c>
      <c r="AI18" s="26" t="e">
        <f ca="1">Calc!R25</f>
        <v>#NAME?</v>
      </c>
      <c r="AJ18" s="27" t="e">
        <f ca="1">Calc!S25</f>
        <v>#NAME?</v>
      </c>
    </row>
    <row r="19" spans="3:36" ht="27" customHeight="1" x14ac:dyDescent="0.55000000000000004">
      <c r="C19" s="12" t="e">
        <f ca="1"/>
        <v>#NAME?</v>
      </c>
      <c r="D19" s="13" t="e">
        <f ca="1"/>
        <v>#NAME?</v>
      </c>
      <c r="E19" s="13" t="e">
        <f ca="1"/>
        <v>#NAME?</v>
      </c>
      <c r="F19" s="13" t="e">
        <f ca="1"/>
        <v>#NAME?</v>
      </c>
      <c r="G19" s="13" t="e">
        <f ca="1"/>
        <v>#NAME?</v>
      </c>
      <c r="H19" s="13" t="e">
        <f ca="1"/>
        <v>#NAME?</v>
      </c>
      <c r="I19" s="14" t="e">
        <f ca="1"/>
        <v>#NAME?</v>
      </c>
      <c r="J19" s="18"/>
      <c r="K19" s="12" t="e">
        <f ca="1"/>
        <v>#NAME?</v>
      </c>
      <c r="L19" s="13" t="e">
        <f ca="1"/>
        <v>#NAME?</v>
      </c>
      <c r="M19" s="13" t="e">
        <f ca="1"/>
        <v>#NAME?</v>
      </c>
      <c r="N19" s="13" t="e">
        <f ca="1"/>
        <v>#NAME?</v>
      </c>
      <c r="O19" s="13" t="e">
        <f ca="1"/>
        <v>#NAME?</v>
      </c>
      <c r="P19" s="13" t="e">
        <f ca="1"/>
        <v>#NAME?</v>
      </c>
      <c r="Q19" s="14" t="e">
        <f ca="1"/>
        <v>#NAME?</v>
      </c>
      <c r="R19" s="18"/>
      <c r="S19" s="12" t="e">
        <f ca="1"/>
        <v>#NAME?</v>
      </c>
      <c r="T19" s="13" t="e">
        <f ca="1"/>
        <v>#NAME?</v>
      </c>
      <c r="U19" s="13" t="e">
        <f ca="1"/>
        <v>#NAME?</v>
      </c>
      <c r="V19" s="13" t="e">
        <f ca="1"/>
        <v>#NAME?</v>
      </c>
      <c r="W19" s="13" t="e">
        <f ca="1"/>
        <v>#NAME?</v>
      </c>
      <c r="X19" s="13" t="e">
        <f ca="1"/>
        <v>#NAME?</v>
      </c>
      <c r="Y19" s="14" t="e">
        <f ca="1"/>
        <v>#NAME?</v>
      </c>
      <c r="Z19" s="18"/>
      <c r="AA19" s="12" t="e">
        <f ca="1"/>
        <v>#NAME?</v>
      </c>
      <c r="AB19" s="13" t="e">
        <f ca="1"/>
        <v>#NAME?</v>
      </c>
      <c r="AC19" s="13" t="e">
        <f ca="1"/>
        <v>#NAME?</v>
      </c>
      <c r="AD19" s="13" t="e">
        <f ca="1"/>
        <v>#NAME?</v>
      </c>
      <c r="AE19" s="13" t="e">
        <f ca="1"/>
        <v>#NAME?</v>
      </c>
      <c r="AF19" s="13" t="e">
        <f ca="1"/>
        <v>#NAME?</v>
      </c>
      <c r="AG19" s="14" t="e">
        <f ca="1"/>
        <v>#NAME?</v>
      </c>
      <c r="AI19" s="26" t="e">
        <f ca="1">Calc!R26</f>
        <v>#NAME?</v>
      </c>
      <c r="AJ19" s="27" t="e">
        <f ca="1">Calc!S26</f>
        <v>#NAME?</v>
      </c>
    </row>
    <row r="20" spans="3:36" ht="27" customHeight="1" x14ac:dyDescent="0.55000000000000004">
      <c r="C20" s="12" t="e">
        <f ca="1"/>
        <v>#NAME?</v>
      </c>
      <c r="D20" s="13" t="e">
        <f ca="1"/>
        <v>#NAME?</v>
      </c>
      <c r="E20" s="13" t="e">
        <f ca="1"/>
        <v>#NAME?</v>
      </c>
      <c r="F20" s="13" t="e">
        <f ca="1"/>
        <v>#NAME?</v>
      </c>
      <c r="G20" s="13" t="e">
        <f ca="1"/>
        <v>#NAME?</v>
      </c>
      <c r="H20" s="13" t="e">
        <f ca="1"/>
        <v>#NAME?</v>
      </c>
      <c r="I20" s="14" t="e">
        <f ca="1"/>
        <v>#NAME?</v>
      </c>
      <c r="J20" s="18"/>
      <c r="K20" s="12" t="e">
        <f ca="1"/>
        <v>#NAME?</v>
      </c>
      <c r="L20" s="13" t="e">
        <f ca="1"/>
        <v>#NAME?</v>
      </c>
      <c r="M20" s="13" t="e">
        <f ca="1"/>
        <v>#NAME?</v>
      </c>
      <c r="N20" s="13" t="e">
        <f ca="1"/>
        <v>#NAME?</v>
      </c>
      <c r="O20" s="13" t="e">
        <f ca="1"/>
        <v>#NAME?</v>
      </c>
      <c r="P20" s="13" t="e">
        <f ca="1"/>
        <v>#NAME?</v>
      </c>
      <c r="Q20" s="14" t="e">
        <f ca="1"/>
        <v>#NAME?</v>
      </c>
      <c r="R20" s="18"/>
      <c r="S20" s="12" t="e">
        <f ca="1"/>
        <v>#NAME?</v>
      </c>
      <c r="T20" s="13" t="e">
        <f ca="1"/>
        <v>#NAME?</v>
      </c>
      <c r="U20" s="13" t="e">
        <f ca="1"/>
        <v>#NAME?</v>
      </c>
      <c r="V20" s="13" t="e">
        <f ca="1"/>
        <v>#NAME?</v>
      </c>
      <c r="W20" s="13" t="e">
        <f ca="1"/>
        <v>#NAME?</v>
      </c>
      <c r="X20" s="13" t="e">
        <f ca="1"/>
        <v>#NAME?</v>
      </c>
      <c r="Y20" s="14" t="e">
        <f ca="1"/>
        <v>#NAME?</v>
      </c>
      <c r="Z20" s="18"/>
      <c r="AA20" s="12" t="e">
        <f ca="1"/>
        <v>#NAME?</v>
      </c>
      <c r="AB20" s="13" t="e">
        <f ca="1"/>
        <v>#NAME?</v>
      </c>
      <c r="AC20" s="13" t="e">
        <f ca="1"/>
        <v>#NAME?</v>
      </c>
      <c r="AD20" s="13" t="e">
        <f ca="1"/>
        <v>#NAME?</v>
      </c>
      <c r="AE20" s="13" t="e">
        <f ca="1"/>
        <v>#NAME?</v>
      </c>
      <c r="AF20" s="13" t="e">
        <f ca="1"/>
        <v>#NAME?</v>
      </c>
      <c r="AG20" s="14" t="e">
        <f ca="1"/>
        <v>#NAME?</v>
      </c>
      <c r="AI20" s="26" t="e">
        <f ca="1">Calc!R27</f>
        <v>#NAME?</v>
      </c>
      <c r="AJ20" s="27" t="e">
        <f ca="1">Calc!S27</f>
        <v>#NAME?</v>
      </c>
    </row>
    <row r="21" spans="3:36" ht="27" customHeight="1" x14ac:dyDescent="0.55000000000000004">
      <c r="C21" s="12" t="e">
        <f ca="1"/>
        <v>#NAME?</v>
      </c>
      <c r="D21" s="13" t="e">
        <f ca="1"/>
        <v>#NAME?</v>
      </c>
      <c r="E21" s="13" t="e">
        <f ca="1"/>
        <v>#NAME?</v>
      </c>
      <c r="F21" s="13" t="e">
        <f ca="1"/>
        <v>#NAME?</v>
      </c>
      <c r="G21" s="13" t="e">
        <f ca="1"/>
        <v>#NAME?</v>
      </c>
      <c r="H21" s="13" t="e">
        <f ca="1"/>
        <v>#NAME?</v>
      </c>
      <c r="I21" s="14" t="e">
        <f ca="1"/>
        <v>#NAME?</v>
      </c>
      <c r="J21" s="18"/>
      <c r="K21" s="12" t="e">
        <f ca="1"/>
        <v>#NAME?</v>
      </c>
      <c r="L21" s="13" t="e">
        <f ca="1"/>
        <v>#NAME?</v>
      </c>
      <c r="M21" s="13" t="e">
        <f ca="1"/>
        <v>#NAME?</v>
      </c>
      <c r="N21" s="13" t="e">
        <f ca="1"/>
        <v>#NAME?</v>
      </c>
      <c r="O21" s="13" t="e">
        <f ca="1"/>
        <v>#NAME?</v>
      </c>
      <c r="P21" s="13" t="e">
        <f ca="1"/>
        <v>#NAME?</v>
      </c>
      <c r="Q21" s="14" t="e">
        <f ca="1"/>
        <v>#NAME?</v>
      </c>
      <c r="R21" s="18"/>
      <c r="S21" s="12" t="e">
        <f ca="1"/>
        <v>#NAME?</v>
      </c>
      <c r="T21" s="13" t="e">
        <f ca="1"/>
        <v>#NAME?</v>
      </c>
      <c r="U21" s="13" t="e">
        <f ca="1"/>
        <v>#NAME?</v>
      </c>
      <c r="V21" s="13" t="e">
        <f ca="1"/>
        <v>#NAME?</v>
      </c>
      <c r="W21" s="13" t="e">
        <f ca="1"/>
        <v>#NAME?</v>
      </c>
      <c r="X21" s="13" t="e">
        <f ca="1"/>
        <v>#NAME?</v>
      </c>
      <c r="Y21" s="14" t="e">
        <f ca="1"/>
        <v>#NAME?</v>
      </c>
      <c r="Z21" s="18"/>
      <c r="AA21" s="12" t="e">
        <f ca="1"/>
        <v>#NAME?</v>
      </c>
      <c r="AB21" s="13" t="e">
        <f ca="1"/>
        <v>#NAME?</v>
      </c>
      <c r="AC21" s="13" t="e">
        <f ca="1"/>
        <v>#NAME?</v>
      </c>
      <c r="AD21" s="13" t="e">
        <f ca="1"/>
        <v>#NAME?</v>
      </c>
      <c r="AE21" s="13" t="e">
        <f ca="1"/>
        <v>#NAME?</v>
      </c>
      <c r="AF21" s="13" t="e">
        <f ca="1"/>
        <v>#NAME?</v>
      </c>
      <c r="AG21" s="14" t="e">
        <f ca="1"/>
        <v>#NAME?</v>
      </c>
      <c r="AI21" s="26" t="str">
        <f>Calc!R28</f>
        <v/>
      </c>
      <c r="AJ21" s="27" t="str">
        <f>Calc!S28</f>
        <v/>
      </c>
    </row>
    <row r="22" spans="3:36" ht="27" customHeight="1" thickBot="1" x14ac:dyDescent="0.6">
      <c r="C22" s="15" t="e">
        <f ca="1"/>
        <v>#NAME?</v>
      </c>
      <c r="D22" s="16" t="e">
        <f ca="1"/>
        <v>#NAME?</v>
      </c>
      <c r="E22" s="16" t="e">
        <f ca="1"/>
        <v>#NAME?</v>
      </c>
      <c r="F22" s="16" t="e">
        <f ca="1"/>
        <v>#NAME?</v>
      </c>
      <c r="G22" s="16" t="e">
        <f ca="1"/>
        <v>#NAME?</v>
      </c>
      <c r="H22" s="16" t="e">
        <f ca="1"/>
        <v>#NAME?</v>
      </c>
      <c r="I22" s="17" t="e">
        <f ca="1"/>
        <v>#NAME?</v>
      </c>
      <c r="J22" s="18"/>
      <c r="K22" s="15" t="e">
        <f ca="1"/>
        <v>#NAME?</v>
      </c>
      <c r="L22" s="16" t="e">
        <f ca="1"/>
        <v>#NAME?</v>
      </c>
      <c r="M22" s="16" t="e">
        <f ca="1"/>
        <v>#NAME?</v>
      </c>
      <c r="N22" s="16" t="e">
        <f ca="1"/>
        <v>#NAME?</v>
      </c>
      <c r="O22" s="16" t="e">
        <f ca="1"/>
        <v>#NAME?</v>
      </c>
      <c r="P22" s="16" t="e">
        <f ca="1"/>
        <v>#NAME?</v>
      </c>
      <c r="Q22" s="17" t="e">
        <f ca="1"/>
        <v>#NAME?</v>
      </c>
      <c r="R22" s="18"/>
      <c r="S22" s="15" t="e">
        <f ca="1"/>
        <v>#NAME?</v>
      </c>
      <c r="T22" s="16" t="e">
        <f ca="1"/>
        <v>#NAME?</v>
      </c>
      <c r="U22" s="16" t="e">
        <f ca="1"/>
        <v>#NAME?</v>
      </c>
      <c r="V22" s="16" t="e">
        <f ca="1"/>
        <v>#NAME?</v>
      </c>
      <c r="W22" s="16" t="e">
        <f ca="1"/>
        <v>#NAME?</v>
      </c>
      <c r="X22" s="16" t="e">
        <f ca="1"/>
        <v>#NAME?</v>
      </c>
      <c r="Y22" s="17" t="e">
        <f ca="1"/>
        <v>#NAME?</v>
      </c>
      <c r="Z22" s="18"/>
      <c r="AA22" s="15" t="e">
        <f ca="1"/>
        <v>#NAME?</v>
      </c>
      <c r="AB22" s="16" t="e">
        <f ca="1"/>
        <v>#NAME?</v>
      </c>
      <c r="AC22" s="16" t="e">
        <f ca="1"/>
        <v>#NAME?</v>
      </c>
      <c r="AD22" s="16" t="e">
        <f ca="1"/>
        <v>#NAME?</v>
      </c>
      <c r="AE22" s="16" t="e">
        <f ca="1"/>
        <v>#NAME?</v>
      </c>
      <c r="AF22" s="16" t="e">
        <f ca="1"/>
        <v>#NAME?</v>
      </c>
      <c r="AG22" s="17" t="e">
        <f ca="1"/>
        <v>#NAME?</v>
      </c>
      <c r="AI22" s="26" t="str">
        <f>Calc!R29</f>
        <v/>
      </c>
      <c r="AJ22" s="27" t="str">
        <f>Calc!S29</f>
        <v/>
      </c>
    </row>
    <row r="23" spans="3:36" ht="27" customHeight="1" thickBot="1" x14ac:dyDescent="0.6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I23" s="26" t="str">
        <f>Calc!R30</f>
        <v/>
      </c>
      <c r="AJ23" s="27" t="str">
        <f>Calc!S30</f>
        <v/>
      </c>
    </row>
    <row r="24" spans="3:36" ht="27" customHeight="1" x14ac:dyDescent="0.55000000000000004">
      <c r="C24" s="20">
        <v>9</v>
      </c>
      <c r="D24" s="53" t="e">
        <f ca="1">TEXT(C27,"MMMM")</f>
        <v>#NAME?</v>
      </c>
      <c r="E24" s="54"/>
      <c r="F24" s="54"/>
      <c r="G24" s="54"/>
      <c r="H24" s="54"/>
      <c r="I24" s="55"/>
      <c r="J24" s="19"/>
      <c r="K24" s="20">
        <v>10</v>
      </c>
      <c r="L24" s="53" t="e">
        <f ca="1">TEXT(K27,"MMMM")</f>
        <v>#NAME?</v>
      </c>
      <c r="M24" s="54"/>
      <c r="N24" s="54"/>
      <c r="O24" s="54"/>
      <c r="P24" s="54"/>
      <c r="Q24" s="55"/>
      <c r="R24" s="19"/>
      <c r="S24" s="20">
        <v>11</v>
      </c>
      <c r="T24" s="53" t="e">
        <f ca="1">TEXT(S27,"MMMM")</f>
        <v>#NAME?</v>
      </c>
      <c r="U24" s="54"/>
      <c r="V24" s="54"/>
      <c r="W24" s="54"/>
      <c r="X24" s="54"/>
      <c r="Y24" s="55"/>
      <c r="Z24" s="19"/>
      <c r="AA24" s="20">
        <v>12</v>
      </c>
      <c r="AB24" s="53" t="e">
        <f ca="1">TEXT(AA27,"MMMM")</f>
        <v>#NAME?</v>
      </c>
      <c r="AC24" s="54"/>
      <c r="AD24" s="54"/>
      <c r="AE24" s="54"/>
      <c r="AF24" s="54"/>
      <c r="AG24" s="55"/>
      <c r="AI24" s="26" t="str">
        <f>Calc!R31</f>
        <v/>
      </c>
      <c r="AJ24" s="27" t="str">
        <f>Calc!S31</f>
        <v/>
      </c>
    </row>
    <row r="25" spans="3:36" ht="27" customHeight="1" x14ac:dyDescent="0.55000000000000004">
      <c r="C25" s="9" t="e">
        <f ca="1">LEFT(TEXT(C27,"DDD"),1)</f>
        <v>#NAME?</v>
      </c>
      <c r="D25" s="10" t="e">
        <f t="shared" ref="D25:I25" ca="1" si="8">LEFT(TEXT(D27,"DDD"),1)</f>
        <v>#NAME?</v>
      </c>
      <c r="E25" s="10" t="e">
        <f t="shared" ca="1" si="8"/>
        <v>#NAME?</v>
      </c>
      <c r="F25" s="10" t="e">
        <f t="shared" ca="1" si="8"/>
        <v>#NAME?</v>
      </c>
      <c r="G25" s="10" t="e">
        <f t="shared" ca="1" si="8"/>
        <v>#NAME?</v>
      </c>
      <c r="H25" s="10" t="e">
        <f t="shared" ca="1" si="8"/>
        <v>#NAME?</v>
      </c>
      <c r="I25" s="11" t="e">
        <f t="shared" ca="1" si="8"/>
        <v>#NAME?</v>
      </c>
      <c r="J25" s="18"/>
      <c r="K25" s="9" t="e">
        <f ca="1">LEFT(TEXT(K27,"DDD"),1)</f>
        <v>#NAME?</v>
      </c>
      <c r="L25" s="10" t="e">
        <f t="shared" ref="L25:Q25" ca="1" si="9">LEFT(TEXT(L27,"DDD"),1)</f>
        <v>#NAME?</v>
      </c>
      <c r="M25" s="10" t="e">
        <f t="shared" ca="1" si="9"/>
        <v>#NAME?</v>
      </c>
      <c r="N25" s="10" t="e">
        <f t="shared" ca="1" si="9"/>
        <v>#NAME?</v>
      </c>
      <c r="O25" s="10" t="e">
        <f t="shared" ca="1" si="9"/>
        <v>#NAME?</v>
      </c>
      <c r="P25" s="10" t="e">
        <f t="shared" ca="1" si="9"/>
        <v>#NAME?</v>
      </c>
      <c r="Q25" s="11" t="e">
        <f t="shared" ca="1" si="9"/>
        <v>#NAME?</v>
      </c>
      <c r="R25" s="18"/>
      <c r="S25" s="9" t="e">
        <f ca="1">LEFT(TEXT(S27,"DDD"),1)</f>
        <v>#NAME?</v>
      </c>
      <c r="T25" s="10" t="e">
        <f t="shared" ref="T25:Y25" ca="1" si="10">LEFT(TEXT(T27,"DDD"),1)</f>
        <v>#NAME?</v>
      </c>
      <c r="U25" s="10" t="e">
        <f t="shared" ca="1" si="10"/>
        <v>#NAME?</v>
      </c>
      <c r="V25" s="10" t="e">
        <f t="shared" ca="1" si="10"/>
        <v>#NAME?</v>
      </c>
      <c r="W25" s="10" t="e">
        <f t="shared" ca="1" si="10"/>
        <v>#NAME?</v>
      </c>
      <c r="X25" s="10" t="e">
        <f t="shared" ca="1" si="10"/>
        <v>#NAME?</v>
      </c>
      <c r="Y25" s="11" t="e">
        <f t="shared" ca="1" si="10"/>
        <v>#NAME?</v>
      </c>
      <c r="Z25" s="18"/>
      <c r="AA25" s="9" t="e">
        <f ca="1">LEFT(TEXT(AA27,"DDD"),1)</f>
        <v>#NAME?</v>
      </c>
      <c r="AB25" s="10" t="e">
        <f t="shared" ref="AB25:AG25" ca="1" si="11">LEFT(TEXT(AB27,"DDD"),1)</f>
        <v>#NAME?</v>
      </c>
      <c r="AC25" s="10" t="e">
        <f t="shared" ca="1" si="11"/>
        <v>#NAME?</v>
      </c>
      <c r="AD25" s="10" t="e">
        <f t="shared" ca="1" si="11"/>
        <v>#NAME?</v>
      </c>
      <c r="AE25" s="10" t="e">
        <f t="shared" ca="1" si="11"/>
        <v>#NAME?</v>
      </c>
      <c r="AF25" s="10" t="e">
        <f t="shared" ca="1" si="11"/>
        <v>#NAME?</v>
      </c>
      <c r="AG25" s="11" t="e">
        <f t="shared" ca="1" si="11"/>
        <v>#NAME?</v>
      </c>
      <c r="AI25" s="26" t="str">
        <f>Calc!R32</f>
        <v/>
      </c>
      <c r="AJ25" s="27" t="str">
        <f>Calc!S32</f>
        <v/>
      </c>
    </row>
    <row r="26" spans="3:36" ht="27" customHeight="1" x14ac:dyDescent="0.55000000000000004">
      <c r="C26" s="12" t="e" cm="1">
        <f t="array" aca="1" ref="C26:I31" ca="1">_xlfn.LET(_xlpm.dt, _xlfn._xlws.FILTER(monthly.calendar, month.nums=C24), IF(MONTH(_xlpm.dt)&lt;&gt;C24,"",_xlpm.dt))</f>
        <v>#NAME?</v>
      </c>
      <c r="D26" s="13" t="e">
        <f ca="1"/>
        <v>#NAME?</v>
      </c>
      <c r="E26" s="13" t="e">
        <f ca="1"/>
        <v>#NAME?</v>
      </c>
      <c r="F26" s="13" t="e">
        <f ca="1"/>
        <v>#NAME?</v>
      </c>
      <c r="G26" s="13" t="e">
        <f ca="1"/>
        <v>#NAME?</v>
      </c>
      <c r="H26" s="13" t="e">
        <f ca="1"/>
        <v>#NAME?</v>
      </c>
      <c r="I26" s="14" t="e">
        <f ca="1"/>
        <v>#NAME?</v>
      </c>
      <c r="J26" s="18"/>
      <c r="K26" s="12" t="e" cm="1">
        <f t="array" aca="1" ref="K26:Q31" ca="1">_xlfn.LET(_xlpm.dt, _xlfn._xlws.FILTER(monthly.calendar, month.nums=K24), IF(MONTH(_xlpm.dt)&lt;&gt;K24,"",_xlpm.dt))</f>
        <v>#NAME?</v>
      </c>
      <c r="L26" s="13" t="e">
        <f ca="1"/>
        <v>#NAME?</v>
      </c>
      <c r="M26" s="13" t="e">
        <f ca="1"/>
        <v>#NAME?</v>
      </c>
      <c r="N26" s="13" t="e">
        <f ca="1"/>
        <v>#NAME?</v>
      </c>
      <c r="O26" s="13" t="e">
        <f ca="1"/>
        <v>#NAME?</v>
      </c>
      <c r="P26" s="13" t="e">
        <f ca="1"/>
        <v>#NAME?</v>
      </c>
      <c r="Q26" s="14" t="e">
        <f ca="1"/>
        <v>#NAME?</v>
      </c>
      <c r="R26" s="18"/>
      <c r="S26" s="12" t="e" cm="1">
        <f t="array" aca="1" ref="S26:Y31" ca="1">_xlfn.LET(_xlpm.dt, _xlfn._xlws.FILTER(monthly.calendar, month.nums=S24), IF(MONTH(_xlpm.dt)&lt;&gt;S24,"",_xlpm.dt))</f>
        <v>#NAME?</v>
      </c>
      <c r="T26" s="13" t="e">
        <f ca="1"/>
        <v>#NAME?</v>
      </c>
      <c r="U26" s="13" t="e">
        <f ca="1"/>
        <v>#NAME?</v>
      </c>
      <c r="V26" s="13" t="e">
        <f ca="1"/>
        <v>#NAME?</v>
      </c>
      <c r="W26" s="13" t="e">
        <f ca="1"/>
        <v>#NAME?</v>
      </c>
      <c r="X26" s="13" t="e">
        <f ca="1"/>
        <v>#NAME?</v>
      </c>
      <c r="Y26" s="14" t="e">
        <f ca="1"/>
        <v>#NAME?</v>
      </c>
      <c r="Z26" s="18"/>
      <c r="AA26" s="12" t="e" cm="1">
        <f t="array" aca="1" ref="AA26:AG31" ca="1">_xlfn.LET(_xlpm.dt, _xlfn._xlws.FILTER(monthly.calendar, month.nums=AA24), IF(MONTH(_xlpm.dt)&lt;&gt;AA24,"",_xlpm.dt))</f>
        <v>#NAME?</v>
      </c>
      <c r="AB26" s="13" t="e">
        <f ca="1"/>
        <v>#NAME?</v>
      </c>
      <c r="AC26" s="13" t="e">
        <f ca="1"/>
        <v>#NAME?</v>
      </c>
      <c r="AD26" s="13" t="e">
        <f ca="1"/>
        <v>#NAME?</v>
      </c>
      <c r="AE26" s="13" t="e">
        <f ca="1"/>
        <v>#NAME?</v>
      </c>
      <c r="AF26" s="13" t="e">
        <f ca="1"/>
        <v>#NAME?</v>
      </c>
      <c r="AG26" s="14" t="e">
        <f ca="1"/>
        <v>#NAME?</v>
      </c>
      <c r="AI26" s="26" t="str">
        <f>Calc!R33</f>
        <v/>
      </c>
      <c r="AJ26" s="27" t="str">
        <f>Calc!S33</f>
        <v/>
      </c>
    </row>
    <row r="27" spans="3:36" ht="27" customHeight="1" x14ac:dyDescent="0.55000000000000004">
      <c r="C27" s="12" t="e">
        <f ca="1"/>
        <v>#NAME?</v>
      </c>
      <c r="D27" s="13" t="e">
        <f ca="1"/>
        <v>#NAME?</v>
      </c>
      <c r="E27" s="13" t="e">
        <f ca="1"/>
        <v>#NAME?</v>
      </c>
      <c r="F27" s="13" t="e">
        <f ca="1"/>
        <v>#NAME?</v>
      </c>
      <c r="G27" s="13" t="e">
        <f ca="1"/>
        <v>#NAME?</v>
      </c>
      <c r="H27" s="13" t="e">
        <f ca="1"/>
        <v>#NAME?</v>
      </c>
      <c r="I27" s="14" t="e">
        <f ca="1"/>
        <v>#NAME?</v>
      </c>
      <c r="J27" s="18"/>
      <c r="K27" s="12" t="e">
        <f ca="1"/>
        <v>#NAME?</v>
      </c>
      <c r="L27" s="13" t="e">
        <f ca="1"/>
        <v>#NAME?</v>
      </c>
      <c r="M27" s="13" t="e">
        <f ca="1"/>
        <v>#NAME?</v>
      </c>
      <c r="N27" s="13" t="e">
        <f ca="1"/>
        <v>#NAME?</v>
      </c>
      <c r="O27" s="13" t="e">
        <f ca="1"/>
        <v>#NAME?</v>
      </c>
      <c r="P27" s="13" t="e">
        <f ca="1"/>
        <v>#NAME?</v>
      </c>
      <c r="Q27" s="14" t="e">
        <f ca="1"/>
        <v>#NAME?</v>
      </c>
      <c r="R27" s="18"/>
      <c r="S27" s="12" t="e">
        <f ca="1"/>
        <v>#NAME?</v>
      </c>
      <c r="T27" s="13" t="e">
        <f ca="1"/>
        <v>#NAME?</v>
      </c>
      <c r="U27" s="13" t="e">
        <f ca="1"/>
        <v>#NAME?</v>
      </c>
      <c r="V27" s="13" t="e">
        <f ca="1"/>
        <v>#NAME?</v>
      </c>
      <c r="W27" s="13" t="e">
        <f ca="1"/>
        <v>#NAME?</v>
      </c>
      <c r="X27" s="13" t="e">
        <f ca="1"/>
        <v>#NAME?</v>
      </c>
      <c r="Y27" s="14" t="e">
        <f ca="1"/>
        <v>#NAME?</v>
      </c>
      <c r="Z27" s="18"/>
      <c r="AA27" s="12" t="e">
        <f ca="1"/>
        <v>#NAME?</v>
      </c>
      <c r="AB27" s="13" t="e">
        <f ca="1"/>
        <v>#NAME?</v>
      </c>
      <c r="AC27" s="13" t="e">
        <f ca="1"/>
        <v>#NAME?</v>
      </c>
      <c r="AD27" s="13" t="e">
        <f ca="1"/>
        <v>#NAME?</v>
      </c>
      <c r="AE27" s="13" t="e">
        <f ca="1"/>
        <v>#NAME?</v>
      </c>
      <c r="AF27" s="13" t="e">
        <f ca="1"/>
        <v>#NAME?</v>
      </c>
      <c r="AG27" s="14" t="e">
        <f ca="1"/>
        <v>#NAME?</v>
      </c>
      <c r="AI27" s="26" t="str">
        <f>Calc!R34</f>
        <v/>
      </c>
      <c r="AJ27" s="27" t="str">
        <f>Calc!S34</f>
        <v/>
      </c>
    </row>
    <row r="28" spans="3:36" ht="27" customHeight="1" x14ac:dyDescent="0.55000000000000004">
      <c r="C28" s="12" t="e">
        <f ca="1"/>
        <v>#NAME?</v>
      </c>
      <c r="D28" s="13" t="e">
        <f ca="1"/>
        <v>#NAME?</v>
      </c>
      <c r="E28" s="13" t="e">
        <f ca="1"/>
        <v>#NAME?</v>
      </c>
      <c r="F28" s="13" t="e">
        <f ca="1"/>
        <v>#NAME?</v>
      </c>
      <c r="G28" s="13" t="e">
        <f ca="1"/>
        <v>#NAME?</v>
      </c>
      <c r="H28" s="13" t="e">
        <f ca="1"/>
        <v>#NAME?</v>
      </c>
      <c r="I28" s="14" t="e">
        <f ca="1"/>
        <v>#NAME?</v>
      </c>
      <c r="J28" s="18"/>
      <c r="K28" s="12" t="e">
        <f ca="1"/>
        <v>#NAME?</v>
      </c>
      <c r="L28" s="13" t="e">
        <f ca="1"/>
        <v>#NAME?</v>
      </c>
      <c r="M28" s="13" t="e">
        <f ca="1"/>
        <v>#NAME?</v>
      </c>
      <c r="N28" s="13" t="e">
        <f ca="1"/>
        <v>#NAME?</v>
      </c>
      <c r="O28" s="13" t="e">
        <f ca="1"/>
        <v>#NAME?</v>
      </c>
      <c r="P28" s="13" t="e">
        <f ca="1"/>
        <v>#NAME?</v>
      </c>
      <c r="Q28" s="14" t="e">
        <f ca="1"/>
        <v>#NAME?</v>
      </c>
      <c r="R28" s="18"/>
      <c r="S28" s="12" t="e">
        <f ca="1"/>
        <v>#NAME?</v>
      </c>
      <c r="T28" s="13" t="e">
        <f ca="1"/>
        <v>#NAME?</v>
      </c>
      <c r="U28" s="13" t="e">
        <f ca="1"/>
        <v>#NAME?</v>
      </c>
      <c r="V28" s="13" t="e">
        <f ca="1"/>
        <v>#NAME?</v>
      </c>
      <c r="W28" s="13" t="e">
        <f ca="1"/>
        <v>#NAME?</v>
      </c>
      <c r="X28" s="13" t="e">
        <f ca="1"/>
        <v>#NAME?</v>
      </c>
      <c r="Y28" s="14" t="e">
        <f ca="1"/>
        <v>#NAME?</v>
      </c>
      <c r="Z28" s="18"/>
      <c r="AA28" s="12" t="e">
        <f ca="1"/>
        <v>#NAME?</v>
      </c>
      <c r="AB28" s="13" t="e">
        <f ca="1"/>
        <v>#NAME?</v>
      </c>
      <c r="AC28" s="13" t="e">
        <f ca="1"/>
        <v>#NAME?</v>
      </c>
      <c r="AD28" s="13" t="e">
        <f ca="1"/>
        <v>#NAME?</v>
      </c>
      <c r="AE28" s="13" t="e">
        <f ca="1"/>
        <v>#NAME?</v>
      </c>
      <c r="AF28" s="13" t="e">
        <f ca="1"/>
        <v>#NAME?</v>
      </c>
      <c r="AG28" s="14" t="e">
        <f ca="1"/>
        <v>#NAME?</v>
      </c>
      <c r="AI28" s="26" t="str">
        <f>Calc!R35</f>
        <v/>
      </c>
      <c r="AJ28" s="27" t="str">
        <f>Calc!S35</f>
        <v/>
      </c>
    </row>
    <row r="29" spans="3:36" ht="27" customHeight="1" x14ac:dyDescent="0.55000000000000004">
      <c r="C29" s="12" t="e">
        <f ca="1"/>
        <v>#NAME?</v>
      </c>
      <c r="D29" s="13" t="e">
        <f ca="1"/>
        <v>#NAME?</v>
      </c>
      <c r="E29" s="13" t="e">
        <f ca="1"/>
        <v>#NAME?</v>
      </c>
      <c r="F29" s="13" t="e">
        <f ca="1"/>
        <v>#NAME?</v>
      </c>
      <c r="G29" s="13" t="e">
        <f ca="1"/>
        <v>#NAME?</v>
      </c>
      <c r="H29" s="13" t="e">
        <f ca="1"/>
        <v>#NAME?</v>
      </c>
      <c r="I29" s="14" t="e">
        <f ca="1"/>
        <v>#NAME?</v>
      </c>
      <c r="J29" s="18"/>
      <c r="K29" s="12" t="e">
        <f ca="1"/>
        <v>#NAME?</v>
      </c>
      <c r="L29" s="13" t="e">
        <f ca="1"/>
        <v>#NAME?</v>
      </c>
      <c r="M29" s="13" t="e">
        <f ca="1"/>
        <v>#NAME?</v>
      </c>
      <c r="N29" s="13" t="e">
        <f ca="1"/>
        <v>#NAME?</v>
      </c>
      <c r="O29" s="13" t="e">
        <f ca="1"/>
        <v>#NAME?</v>
      </c>
      <c r="P29" s="13" t="e">
        <f ca="1"/>
        <v>#NAME?</v>
      </c>
      <c r="Q29" s="14" t="e">
        <f ca="1"/>
        <v>#NAME?</v>
      </c>
      <c r="R29" s="18"/>
      <c r="S29" s="12" t="e">
        <f ca="1"/>
        <v>#NAME?</v>
      </c>
      <c r="T29" s="13" t="e">
        <f ca="1"/>
        <v>#NAME?</v>
      </c>
      <c r="U29" s="13" t="e">
        <f ca="1"/>
        <v>#NAME?</v>
      </c>
      <c r="V29" s="13" t="e">
        <f ca="1"/>
        <v>#NAME?</v>
      </c>
      <c r="W29" s="13" t="e">
        <f ca="1"/>
        <v>#NAME?</v>
      </c>
      <c r="X29" s="13" t="e">
        <f ca="1"/>
        <v>#NAME?</v>
      </c>
      <c r="Y29" s="14" t="e">
        <f ca="1"/>
        <v>#NAME?</v>
      </c>
      <c r="Z29" s="18"/>
      <c r="AA29" s="12" t="e">
        <f ca="1"/>
        <v>#NAME?</v>
      </c>
      <c r="AB29" s="13" t="e">
        <f ca="1"/>
        <v>#NAME?</v>
      </c>
      <c r="AC29" s="13" t="e">
        <f ca="1"/>
        <v>#NAME?</v>
      </c>
      <c r="AD29" s="13" t="e">
        <f ca="1"/>
        <v>#NAME?</v>
      </c>
      <c r="AE29" s="13" t="e">
        <f ca="1"/>
        <v>#NAME?</v>
      </c>
      <c r="AF29" s="13" t="e">
        <f ca="1"/>
        <v>#NAME?</v>
      </c>
      <c r="AG29" s="14" t="e">
        <f ca="1"/>
        <v>#NAME?</v>
      </c>
      <c r="AI29" s="26" t="str">
        <f>Calc!R36</f>
        <v/>
      </c>
      <c r="AJ29" s="27" t="str">
        <f>Calc!S36</f>
        <v/>
      </c>
    </row>
    <row r="30" spans="3:36" ht="27" customHeight="1" x14ac:dyDescent="0.55000000000000004">
      <c r="C30" s="12" t="e">
        <f ca="1"/>
        <v>#NAME?</v>
      </c>
      <c r="D30" s="13" t="e">
        <f ca="1"/>
        <v>#NAME?</v>
      </c>
      <c r="E30" s="13" t="e">
        <f ca="1"/>
        <v>#NAME?</v>
      </c>
      <c r="F30" s="13" t="e">
        <f ca="1"/>
        <v>#NAME?</v>
      </c>
      <c r="G30" s="13" t="e">
        <f ca="1"/>
        <v>#NAME?</v>
      </c>
      <c r="H30" s="13" t="e">
        <f ca="1"/>
        <v>#NAME?</v>
      </c>
      <c r="I30" s="14" t="e">
        <f ca="1"/>
        <v>#NAME?</v>
      </c>
      <c r="J30" s="18"/>
      <c r="K30" s="12" t="e">
        <f ca="1"/>
        <v>#NAME?</v>
      </c>
      <c r="L30" s="13" t="e">
        <f ca="1"/>
        <v>#NAME?</v>
      </c>
      <c r="M30" s="13" t="e">
        <f ca="1"/>
        <v>#NAME?</v>
      </c>
      <c r="N30" s="13" t="e">
        <f ca="1"/>
        <v>#NAME?</v>
      </c>
      <c r="O30" s="13" t="e">
        <f ca="1"/>
        <v>#NAME?</v>
      </c>
      <c r="P30" s="13" t="e">
        <f ca="1"/>
        <v>#NAME?</v>
      </c>
      <c r="Q30" s="14" t="e">
        <f ca="1"/>
        <v>#NAME?</v>
      </c>
      <c r="R30" s="18"/>
      <c r="S30" s="12" t="e">
        <f ca="1"/>
        <v>#NAME?</v>
      </c>
      <c r="T30" s="13" t="e">
        <f ca="1"/>
        <v>#NAME?</v>
      </c>
      <c r="U30" s="13" t="e">
        <f ca="1"/>
        <v>#NAME?</v>
      </c>
      <c r="V30" s="13" t="e">
        <f ca="1"/>
        <v>#NAME?</v>
      </c>
      <c r="W30" s="13" t="e">
        <f ca="1"/>
        <v>#NAME?</v>
      </c>
      <c r="X30" s="13" t="e">
        <f ca="1"/>
        <v>#NAME?</v>
      </c>
      <c r="Y30" s="14" t="e">
        <f ca="1"/>
        <v>#NAME?</v>
      </c>
      <c r="Z30" s="18"/>
      <c r="AA30" s="12" t="e">
        <f ca="1"/>
        <v>#NAME?</v>
      </c>
      <c r="AB30" s="13" t="e">
        <f ca="1"/>
        <v>#NAME?</v>
      </c>
      <c r="AC30" s="13" t="e">
        <f ca="1"/>
        <v>#NAME?</v>
      </c>
      <c r="AD30" s="13" t="e">
        <f ca="1"/>
        <v>#NAME?</v>
      </c>
      <c r="AE30" s="13" t="e">
        <f ca="1"/>
        <v>#NAME?</v>
      </c>
      <c r="AF30" s="13" t="e">
        <f ca="1"/>
        <v>#NAME?</v>
      </c>
      <c r="AG30" s="14" t="e">
        <f ca="1"/>
        <v>#NAME?</v>
      </c>
      <c r="AI30" s="28" t="str">
        <f>Calc!R37</f>
        <v/>
      </c>
      <c r="AJ30" s="29" t="str">
        <f>Calc!S37</f>
        <v/>
      </c>
    </row>
    <row r="31" spans="3:36" ht="27" customHeight="1" thickBot="1" x14ac:dyDescent="0.6">
      <c r="C31" s="15" t="e">
        <f ca="1"/>
        <v>#NAME?</v>
      </c>
      <c r="D31" s="16" t="e">
        <f ca="1"/>
        <v>#NAME?</v>
      </c>
      <c r="E31" s="16" t="e">
        <f ca="1"/>
        <v>#NAME?</v>
      </c>
      <c r="F31" s="16" t="e">
        <f ca="1"/>
        <v>#NAME?</v>
      </c>
      <c r="G31" s="16" t="e">
        <f ca="1"/>
        <v>#NAME?</v>
      </c>
      <c r="H31" s="16" t="e">
        <f ca="1"/>
        <v>#NAME?</v>
      </c>
      <c r="I31" s="17" t="e">
        <f ca="1"/>
        <v>#NAME?</v>
      </c>
      <c r="J31" s="18"/>
      <c r="K31" s="15" t="e">
        <f ca="1"/>
        <v>#NAME?</v>
      </c>
      <c r="L31" s="16" t="e">
        <f ca="1"/>
        <v>#NAME?</v>
      </c>
      <c r="M31" s="16" t="e">
        <f ca="1"/>
        <v>#NAME?</v>
      </c>
      <c r="N31" s="16" t="e">
        <f ca="1"/>
        <v>#NAME?</v>
      </c>
      <c r="O31" s="16" t="e">
        <f ca="1"/>
        <v>#NAME?</v>
      </c>
      <c r="P31" s="16" t="e">
        <f ca="1"/>
        <v>#NAME?</v>
      </c>
      <c r="Q31" s="17" t="e">
        <f ca="1"/>
        <v>#NAME?</v>
      </c>
      <c r="R31" s="18"/>
      <c r="S31" s="15" t="e">
        <f ca="1"/>
        <v>#NAME?</v>
      </c>
      <c r="T31" s="16" t="e">
        <f ca="1"/>
        <v>#NAME?</v>
      </c>
      <c r="U31" s="16" t="e">
        <f ca="1"/>
        <v>#NAME?</v>
      </c>
      <c r="V31" s="16" t="e">
        <f ca="1"/>
        <v>#NAME?</v>
      </c>
      <c r="W31" s="16" t="e">
        <f ca="1"/>
        <v>#NAME?</v>
      </c>
      <c r="X31" s="16" t="e">
        <f ca="1"/>
        <v>#NAME?</v>
      </c>
      <c r="Y31" s="17" t="e">
        <f ca="1"/>
        <v>#NAME?</v>
      </c>
      <c r="Z31" s="18"/>
      <c r="AA31" s="15" t="e">
        <f ca="1"/>
        <v>#NAME?</v>
      </c>
      <c r="AB31" s="16" t="e">
        <f ca="1"/>
        <v>#NAME?</v>
      </c>
      <c r="AC31" s="16" t="e">
        <f ca="1"/>
        <v>#NAME?</v>
      </c>
      <c r="AD31" s="16" t="e">
        <f ca="1"/>
        <v>#NAME?</v>
      </c>
      <c r="AE31" s="16" t="e">
        <f ca="1"/>
        <v>#NAME?</v>
      </c>
      <c r="AF31" s="16" t="e">
        <f ca="1"/>
        <v>#NAME?</v>
      </c>
      <c r="AG31" s="17" t="e">
        <f ca="1"/>
        <v>#NAME?</v>
      </c>
    </row>
  </sheetData>
  <mergeCells count="14">
    <mergeCell ref="D24:I24"/>
    <mergeCell ref="L24:Q24"/>
    <mergeCell ref="T24:Y24"/>
    <mergeCell ref="AB24:AG24"/>
    <mergeCell ref="D6:I6"/>
    <mergeCell ref="L6:Q6"/>
    <mergeCell ref="T6:Y6"/>
    <mergeCell ref="AB6:AG6"/>
    <mergeCell ref="AI4:AJ4"/>
    <mergeCell ref="C4:AG4"/>
    <mergeCell ref="D15:I15"/>
    <mergeCell ref="L15:Q15"/>
    <mergeCell ref="T15:Y15"/>
    <mergeCell ref="AB15:AG15"/>
  </mergeCells>
  <conditionalFormatting sqref="C8:I13">
    <cfRule type="expression" dxfId="51" priority="23">
      <formula>AND(show.planner="Yes", COUNTIFS(planner_dates,C8))</formula>
    </cfRule>
    <cfRule type="expression" dxfId="50" priority="46">
      <formula>IF(C8="",FALSE, NETWORKDAYS.INTL(C8,C8,weekend.type, holiday_dates)=0)</formula>
    </cfRule>
  </conditionalFormatting>
  <conditionalFormatting sqref="C17:I22">
    <cfRule type="expression" dxfId="49" priority="15">
      <formula>AND(show.planner="Yes", COUNTIFS(planner_dates,C17))</formula>
    </cfRule>
    <cfRule type="expression" dxfId="48" priority="16">
      <formula>AND(C17&lt;&gt;"", NETWORKDAYS.INTL(C17,C17,weekend.type, holiday_dates)=0)</formula>
    </cfRule>
  </conditionalFormatting>
  <conditionalFormatting sqref="C26:I31">
    <cfRule type="expression" dxfId="47" priority="7">
      <formula>AND(show.planner="Yes", COUNTIFS(planner_dates,C26))</formula>
    </cfRule>
    <cfRule type="expression" dxfId="46" priority="8">
      <formula>AND(C26&lt;&gt;"", NETWORKDAYS.INTL(C26,C26,weekend.type, holiday_dates)=0)</formula>
    </cfRule>
  </conditionalFormatting>
  <conditionalFormatting sqref="K8:Q13">
    <cfRule type="expression" dxfId="45" priority="21">
      <formula>AND(show.planner="Yes", COUNTIFS(planner_dates,K8))</formula>
    </cfRule>
    <cfRule type="expression" dxfId="44" priority="22">
      <formula>AND(K8&lt;&gt;"", NETWORKDAYS.INTL(K8,K8,weekend.type, holiday_dates)=0)</formula>
    </cfRule>
  </conditionalFormatting>
  <conditionalFormatting sqref="K17:Q22">
    <cfRule type="expression" dxfId="43" priority="13">
      <formula>AND(show.planner="Yes", COUNTIFS(planner_dates,K17))</formula>
    </cfRule>
    <cfRule type="expression" dxfId="42" priority="14">
      <formula>AND(K17&lt;&gt;"", NETWORKDAYS.INTL(K17,K17,weekend.type, holiday_dates)=0)</formula>
    </cfRule>
  </conditionalFormatting>
  <conditionalFormatting sqref="K26:Q31">
    <cfRule type="expression" dxfId="41" priority="5">
      <formula>AND(show.planner="Yes", COUNTIFS(planner_dates,K26))</formula>
    </cfRule>
    <cfRule type="expression" dxfId="40" priority="6">
      <formula>AND(K26&lt;&gt;"", NETWORKDAYS.INTL(K26,K26,weekend.type, holiday_dates)=0)</formula>
    </cfRule>
  </conditionalFormatting>
  <conditionalFormatting sqref="S8:Y13">
    <cfRule type="expression" dxfId="39" priority="19">
      <formula>AND(show.planner="Yes", COUNTIFS(planner_dates,S8))</formula>
    </cfRule>
    <cfRule type="expression" dxfId="38" priority="20">
      <formula>AND(S8&lt;&gt;"", NETWORKDAYS.INTL(S8,S8,weekend.type, holiday_dates)=0)</formula>
    </cfRule>
  </conditionalFormatting>
  <conditionalFormatting sqref="S17:Y22">
    <cfRule type="expression" dxfId="37" priority="11">
      <formula>AND(show.planner="Yes", COUNTIFS(planner_dates,S17))</formula>
    </cfRule>
    <cfRule type="expression" dxfId="36" priority="12">
      <formula>AND(S17&lt;&gt;"", NETWORKDAYS.INTL(S17,S17,weekend.type, holiday_dates)=0)</formula>
    </cfRule>
  </conditionalFormatting>
  <conditionalFormatting sqref="S26:Y31">
    <cfRule type="expression" dxfId="35" priority="3">
      <formula>AND(show.planner="Yes", COUNTIFS(planner_dates,S26))</formula>
    </cfRule>
    <cfRule type="expression" dxfId="34" priority="4">
      <formula>AND(S26&lt;&gt;"", NETWORKDAYS.INTL(S26,S26,weekend.type, holiday_dates)=0)</formula>
    </cfRule>
  </conditionalFormatting>
  <conditionalFormatting sqref="AA8:AG13">
    <cfRule type="expression" dxfId="33" priority="17">
      <formula>AND(show.planner="Yes", COUNTIFS(planner_dates,AA8))</formula>
    </cfRule>
    <cfRule type="expression" dxfId="32" priority="18">
      <formula>AND(AA8&lt;&gt;"", NETWORKDAYS.INTL(AA8,AA8,weekend.type, holiday_dates)=0)</formula>
    </cfRule>
  </conditionalFormatting>
  <conditionalFormatting sqref="AA17:AG22">
    <cfRule type="expression" dxfId="31" priority="9">
      <formula>AND(show.planner="Yes", COUNTIFS(planner_dates,AA17))</formula>
    </cfRule>
    <cfRule type="expression" dxfId="30" priority="10">
      <formula>AND(AA17&lt;&gt;"", NETWORKDAYS.INTL(AA17,AA17,weekend.type, holiday_dates)=0)</formula>
    </cfRule>
  </conditionalFormatting>
  <conditionalFormatting sqref="AA26:AG31">
    <cfRule type="expression" dxfId="29" priority="1">
      <formula>AND(show.planner="Yes", COUNTIFS(planner_dates,AA26))</formula>
    </cfRule>
    <cfRule type="expression" dxfId="28" priority="2">
      <formula>AND(AA26&lt;&gt;"", NETWORKDAYS.INTL(AA26,AA26,weekend.type, holiday_dates)=0)</formula>
    </cfRule>
  </conditionalFormatting>
  <pageMargins left="0.25" right="0.25" top="0.75" bottom="0.75" header="0.3" footer="0.3"/>
  <pageSetup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4AE2-9F58-4365-937C-75771A6249C3}">
  <sheetPr>
    <tabColor theme="9"/>
    <pageSetUpPr fitToPage="1"/>
  </sheetPr>
  <dimension ref="A1:I18"/>
  <sheetViews>
    <sheetView showGridLines="0" zoomScale="85" zoomScaleNormal="85" workbookViewId="0">
      <selection activeCell="F24" sqref="F24"/>
    </sheetView>
  </sheetViews>
  <sheetFormatPr defaultRowHeight="14.4" x14ac:dyDescent="0.55000000000000004"/>
  <cols>
    <col min="1" max="1" width="1.1015625" customWidth="1"/>
    <col min="2" max="2" width="3.1015625" customWidth="1"/>
    <col min="3" max="9" width="20.41796875" customWidth="1"/>
    <col min="10" max="10" width="3.3125" customWidth="1"/>
  </cols>
  <sheetData>
    <row r="1" spans="1:9" s="1" customFormat="1" ht="52.5" customHeight="1" x14ac:dyDescent="0.55000000000000004">
      <c r="A1" s="43"/>
      <c r="C1" s="2" t="s">
        <v>49</v>
      </c>
      <c r="D1" s="2"/>
    </row>
    <row r="2" spans="1:9" ht="14.7" thickBot="1" x14ac:dyDescent="0.6"/>
    <row r="3" spans="1:9" ht="18.3" x14ac:dyDescent="0.55000000000000004">
      <c r="C3" s="37">
        <v>4</v>
      </c>
      <c r="D3" s="42" t="s">
        <v>48</v>
      </c>
    </row>
    <row r="4" spans="1:9" ht="14.7" thickBot="1" x14ac:dyDescent="0.6"/>
    <row r="5" spans="1:9" ht="39" customHeight="1" x14ac:dyDescent="0.55000000000000004">
      <c r="C5" s="56" t="e">
        <f ca="1">TEXT(C9,"MMMM YYYY")</f>
        <v>#NAME?</v>
      </c>
      <c r="D5" s="57"/>
      <c r="E5" s="57"/>
      <c r="F5" s="57"/>
      <c r="G5" s="57"/>
      <c r="H5" s="57"/>
      <c r="I5" s="58"/>
    </row>
    <row r="6" spans="1:9" ht="28.5" customHeight="1" thickBot="1" x14ac:dyDescent="0.6">
      <c r="C6" s="34" t="e">
        <f ca="1">UPPER(TEXT(C9,"DDD"))</f>
        <v>#NAME?</v>
      </c>
      <c r="D6" s="34" t="e">
        <f t="shared" ref="D6:I6" ca="1" si="0">UPPER(TEXT(D9,"DDD"))</f>
        <v>#NAME?</v>
      </c>
      <c r="E6" s="34" t="e">
        <f t="shared" ca="1" si="0"/>
        <v>#NAME?</v>
      </c>
      <c r="F6" s="34" t="e">
        <f t="shared" ca="1" si="0"/>
        <v>#NAME?</v>
      </c>
      <c r="G6" s="34" t="e">
        <f t="shared" ca="1" si="0"/>
        <v>#NAME?</v>
      </c>
      <c r="H6" s="34" t="e">
        <f t="shared" ca="1" si="0"/>
        <v>#NAME?</v>
      </c>
      <c r="I6" s="34" t="e">
        <f t="shared" ca="1" si="0"/>
        <v>#NAME?</v>
      </c>
    </row>
    <row r="7" spans="1:9" ht="28.95" customHeight="1" x14ac:dyDescent="0.55000000000000004">
      <c r="C7" s="38" t="e">
        <f ca="1">Calc!Z13</f>
        <v>#NAME?</v>
      </c>
      <c r="D7" s="38" t="e">
        <f ca="1">Calc!AA13</f>
        <v>#NAME?</v>
      </c>
      <c r="E7" s="38" t="e">
        <f ca="1">Calc!AB13</f>
        <v>#NAME?</v>
      </c>
      <c r="F7" s="38" t="e">
        <f ca="1">Calc!AC13</f>
        <v>#NAME?</v>
      </c>
      <c r="G7" s="38" t="e">
        <f ca="1">Calc!AD13</f>
        <v>#NAME?</v>
      </c>
      <c r="H7" s="38" t="e">
        <f ca="1">Calc!AE13</f>
        <v>#NAME?</v>
      </c>
      <c r="I7" s="39" t="e">
        <f ca="1">Calc!AF13</f>
        <v>#NAME?</v>
      </c>
    </row>
    <row r="8" spans="1:9" ht="54" customHeight="1" thickBot="1" x14ac:dyDescent="0.6">
      <c r="C8" s="40" t="str">
        <f ca="1">Calc!Z31</f>
        <v/>
      </c>
      <c r="D8" s="40" t="str">
        <f ca="1">Calc!AA31</f>
        <v/>
      </c>
      <c r="E8" s="40" t="str">
        <f ca="1">Calc!AB31</f>
        <v/>
      </c>
      <c r="F8" s="40" t="str">
        <f ca="1">Calc!AC31</f>
        <v/>
      </c>
      <c r="G8" s="40" t="str">
        <f ca="1">Calc!AD31</f>
        <v/>
      </c>
      <c r="H8" s="40" t="str">
        <f ca="1">Calc!AE31</f>
        <v/>
      </c>
      <c r="I8" s="41" t="str">
        <f ca="1">Calc!AF31</f>
        <v/>
      </c>
    </row>
    <row r="9" spans="1:9" ht="28.95" customHeight="1" x14ac:dyDescent="0.55000000000000004">
      <c r="C9" s="38" t="e">
        <f ca="1">Calc!Z14</f>
        <v>#NAME?</v>
      </c>
      <c r="D9" s="38" t="e">
        <f ca="1">Calc!AA14</f>
        <v>#NAME?</v>
      </c>
      <c r="E9" s="38" t="e">
        <f ca="1">Calc!AB14</f>
        <v>#NAME?</v>
      </c>
      <c r="F9" s="38" t="e">
        <f ca="1">Calc!AC14</f>
        <v>#NAME?</v>
      </c>
      <c r="G9" s="38" t="e">
        <f ca="1">Calc!AD14</f>
        <v>#NAME?</v>
      </c>
      <c r="H9" s="38" t="e">
        <f ca="1">Calc!AE14</f>
        <v>#NAME?</v>
      </c>
      <c r="I9" s="39" t="e">
        <f ca="1">Calc!AF14</f>
        <v>#NAME?</v>
      </c>
    </row>
    <row r="10" spans="1:9" ht="54" customHeight="1" thickBot="1" x14ac:dyDescent="0.6">
      <c r="C10" s="40" t="str">
        <f ca="1">Calc!Z32</f>
        <v/>
      </c>
      <c r="D10" s="40" t="str">
        <f ca="1">Calc!AA32</f>
        <v/>
      </c>
      <c r="E10" s="40" t="str">
        <f ca="1">Calc!AB32</f>
        <v/>
      </c>
      <c r="F10" s="40" t="str">
        <f ca="1">Calc!AC32</f>
        <v/>
      </c>
      <c r="G10" s="40" t="str">
        <f ca="1">Calc!AD32</f>
        <v/>
      </c>
      <c r="H10" s="40" t="str">
        <f ca="1">Calc!AE32</f>
        <v/>
      </c>
      <c r="I10" s="41" t="str">
        <f ca="1">Calc!AF32</f>
        <v/>
      </c>
    </row>
    <row r="11" spans="1:9" ht="28.95" customHeight="1" x14ac:dyDescent="0.55000000000000004">
      <c r="C11" s="38" t="e">
        <f ca="1">Calc!Z15</f>
        <v>#NAME?</v>
      </c>
      <c r="D11" s="38" t="e">
        <f ca="1">Calc!AA15</f>
        <v>#NAME?</v>
      </c>
      <c r="E11" s="38" t="e">
        <f ca="1">Calc!AB15</f>
        <v>#NAME?</v>
      </c>
      <c r="F11" s="38" t="e">
        <f ca="1">Calc!AC15</f>
        <v>#NAME?</v>
      </c>
      <c r="G11" s="38" t="e">
        <f ca="1">Calc!AD15</f>
        <v>#NAME?</v>
      </c>
      <c r="H11" s="38" t="e">
        <f ca="1">Calc!AE15</f>
        <v>#NAME?</v>
      </c>
      <c r="I11" s="39" t="e">
        <f ca="1">Calc!AF15</f>
        <v>#NAME?</v>
      </c>
    </row>
    <row r="12" spans="1:9" ht="54" customHeight="1" thickBot="1" x14ac:dyDescent="0.6">
      <c r="C12" s="40" t="str">
        <f ca="1">Calc!Z33</f>
        <v/>
      </c>
      <c r="D12" s="40" t="str">
        <f ca="1">Calc!AA33</f>
        <v/>
      </c>
      <c r="E12" s="40" t="str">
        <f ca="1">Calc!AB33</f>
        <v/>
      </c>
      <c r="F12" s="40" t="str">
        <f ca="1">Calc!AC33</f>
        <v/>
      </c>
      <c r="G12" s="40" t="str">
        <f ca="1">Calc!AD33</f>
        <v/>
      </c>
      <c r="H12" s="40" t="str">
        <f ca="1">Calc!AE33</f>
        <v/>
      </c>
      <c r="I12" s="41" t="str">
        <f ca="1">Calc!AF33</f>
        <v/>
      </c>
    </row>
    <row r="13" spans="1:9" ht="28.95" customHeight="1" x14ac:dyDescent="0.55000000000000004">
      <c r="C13" s="38" t="e">
        <f ca="1">Calc!Z16</f>
        <v>#NAME?</v>
      </c>
      <c r="D13" s="38" t="e">
        <f ca="1">Calc!AA16</f>
        <v>#NAME?</v>
      </c>
      <c r="E13" s="38" t="e">
        <f ca="1">Calc!AB16</f>
        <v>#NAME?</v>
      </c>
      <c r="F13" s="38" t="e">
        <f ca="1">Calc!AC16</f>
        <v>#NAME?</v>
      </c>
      <c r="G13" s="38" t="e">
        <f ca="1">Calc!AD16</f>
        <v>#NAME?</v>
      </c>
      <c r="H13" s="38" t="e">
        <f ca="1">Calc!AE16</f>
        <v>#NAME?</v>
      </c>
      <c r="I13" s="39" t="e">
        <f ca="1">Calc!AF16</f>
        <v>#NAME?</v>
      </c>
    </row>
    <row r="14" spans="1:9" ht="54" customHeight="1" thickBot="1" x14ac:dyDescent="0.6">
      <c r="C14" s="40" t="str">
        <f ca="1">Calc!Z34</f>
        <v/>
      </c>
      <c r="D14" s="40" t="str">
        <f ca="1">Calc!AA34</f>
        <v/>
      </c>
      <c r="E14" s="40" t="str">
        <f ca="1">Calc!AB34</f>
        <v/>
      </c>
      <c r="F14" s="40" t="str">
        <f ca="1">Calc!AC34</f>
        <v/>
      </c>
      <c r="G14" s="40" t="str">
        <f ca="1">Calc!AD34</f>
        <v/>
      </c>
      <c r="H14" s="40" t="str">
        <f ca="1">Calc!AE34</f>
        <v/>
      </c>
      <c r="I14" s="41" t="str">
        <f ca="1">Calc!AF34</f>
        <v/>
      </c>
    </row>
    <row r="15" spans="1:9" ht="28.95" customHeight="1" x14ac:dyDescent="0.55000000000000004">
      <c r="C15" s="38" t="e">
        <f ca="1">Calc!Z17</f>
        <v>#NAME?</v>
      </c>
      <c r="D15" s="38" t="e">
        <f ca="1">Calc!AA17</f>
        <v>#NAME?</v>
      </c>
      <c r="E15" s="38" t="e">
        <f ca="1">Calc!AB17</f>
        <v>#NAME?</v>
      </c>
      <c r="F15" s="38" t="e">
        <f ca="1">Calc!AC17</f>
        <v>#NAME?</v>
      </c>
      <c r="G15" s="38" t="e">
        <f ca="1">Calc!AD17</f>
        <v>#NAME?</v>
      </c>
      <c r="H15" s="38" t="e">
        <f ca="1">Calc!AE17</f>
        <v>#NAME?</v>
      </c>
      <c r="I15" s="39" t="e">
        <f ca="1">Calc!AF17</f>
        <v>#NAME?</v>
      </c>
    </row>
    <row r="16" spans="1:9" ht="54" customHeight="1" thickBot="1" x14ac:dyDescent="0.6">
      <c r="C16" s="40" t="str">
        <f ca="1">Calc!Z35</f>
        <v/>
      </c>
      <c r="D16" s="40" t="str">
        <f ca="1">Calc!AA35</f>
        <v/>
      </c>
      <c r="E16" s="40" t="str">
        <f ca="1">Calc!AB35</f>
        <v/>
      </c>
      <c r="F16" s="40" t="str">
        <f ca="1">Calc!AC35</f>
        <v/>
      </c>
      <c r="G16" s="40" t="str">
        <f ca="1">Calc!AD35</f>
        <v/>
      </c>
      <c r="H16" s="40" t="str">
        <f ca="1">Calc!AE35</f>
        <v/>
      </c>
      <c r="I16" s="41" t="str">
        <f ca="1">Calc!AF35</f>
        <v/>
      </c>
    </row>
    <row r="17" spans="3:9" ht="28.95" customHeight="1" x14ac:dyDescent="0.55000000000000004">
      <c r="C17" s="38" t="e">
        <f ca="1">Calc!Z18</f>
        <v>#NAME?</v>
      </c>
      <c r="D17" s="38" t="e">
        <f ca="1">Calc!AA18</f>
        <v>#NAME?</v>
      </c>
      <c r="E17" s="38" t="e">
        <f ca="1">Calc!AB18</f>
        <v>#NAME?</v>
      </c>
      <c r="F17" s="38" t="e">
        <f ca="1">Calc!AC18</f>
        <v>#NAME?</v>
      </c>
      <c r="G17" s="38" t="e">
        <f ca="1">Calc!AD18</f>
        <v>#NAME?</v>
      </c>
      <c r="H17" s="38" t="e">
        <f ca="1">Calc!AE18</f>
        <v>#NAME?</v>
      </c>
      <c r="I17" s="39" t="e">
        <f ca="1">Calc!AF18</f>
        <v>#NAME?</v>
      </c>
    </row>
    <row r="18" spans="3:9" ht="54" customHeight="1" thickBot="1" x14ac:dyDescent="0.6">
      <c r="C18" s="40" t="str">
        <f ca="1">Calc!Z36</f>
        <v/>
      </c>
      <c r="D18" s="40" t="str">
        <f ca="1">Calc!AA36</f>
        <v/>
      </c>
      <c r="E18" s="40" t="str">
        <f ca="1">Calc!AB36</f>
        <v/>
      </c>
      <c r="F18" s="40" t="str">
        <f ca="1">Calc!AC36</f>
        <v/>
      </c>
      <c r="G18" s="40" t="str">
        <f ca="1">Calc!AD36</f>
        <v/>
      </c>
      <c r="H18" s="40" t="str">
        <f ca="1">Calc!AE36</f>
        <v/>
      </c>
      <c r="I18" s="41" t="str">
        <f ca="1">Calc!AF36</f>
        <v/>
      </c>
    </row>
  </sheetData>
  <mergeCells count="1">
    <mergeCell ref="C5:I5"/>
  </mergeCells>
  <conditionalFormatting sqref="C7:I18">
    <cfRule type="expression" dxfId="27" priority="1">
      <formula>IF(ISNUMBER(C7), AND(C7&lt;&gt;"", NETWORKDAYS.INTL(C7,C7,weekend.type, holiday_dates)=0), AND(C6&lt;&gt;"", NETWORKDAYS.INTL(C6,C6,weekend.type, holiday_dates)=0))</formula>
    </cfRule>
    <cfRule type="expression" dxfId="26" priority="2">
      <formula>AND(show.planner="Yes",IF(ISNUMBER(C7),COUNTIFS(planner_dates,C7),COUNTIFS(planner_dates,C6)))</formula>
    </cfRule>
  </conditionalFormatting>
  <dataValidations count="1">
    <dataValidation type="list" allowBlank="1" showInputMessage="1" showErrorMessage="1" sqref="C3" xr:uid="{9690FC1F-830B-4F21-B09C-572CD41AEAF3}">
      <formula1>months.list</formula1>
    </dataValidation>
  </dataValidations>
  <printOptions horizontalCentered="1" verticalCentered="1"/>
  <pageMargins left="0.25" right="0.25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3D60-DFC0-4025-B160-93284F3F96E7}">
  <sheetPr>
    <tabColor theme="5"/>
  </sheetPr>
  <dimension ref="A1:I195"/>
  <sheetViews>
    <sheetView showGridLines="0" zoomScale="85" zoomScaleNormal="85" workbookViewId="0">
      <selection activeCell="C7" sqref="C7"/>
    </sheetView>
  </sheetViews>
  <sheetFormatPr defaultRowHeight="14.4" x14ac:dyDescent="0.55000000000000004"/>
  <cols>
    <col min="1" max="1" width="1.1015625" customWidth="1"/>
    <col min="2" max="2" width="3.1015625" customWidth="1"/>
    <col min="3" max="9" width="20.41796875" customWidth="1"/>
    <col min="10" max="10" width="3.3125" customWidth="1"/>
  </cols>
  <sheetData>
    <row r="1" spans="1:9" s="1" customFormat="1" ht="52.5" customHeight="1" x14ac:dyDescent="0.55000000000000004">
      <c r="A1" s="43"/>
      <c r="C1" s="2" t="s">
        <v>66</v>
      </c>
      <c r="D1" s="2"/>
    </row>
    <row r="4" spans="1:9" ht="14.7" thickBot="1" x14ac:dyDescent="0.6"/>
    <row r="5" spans="1:9" ht="39" customHeight="1" x14ac:dyDescent="0.55000000000000004">
      <c r="C5" s="56" t="e">
        <f ca="1">TEXT(C9,"MMMM YYYY")</f>
        <v>#NAME?</v>
      </c>
      <c r="D5" s="57"/>
      <c r="E5" s="57"/>
      <c r="F5" s="57"/>
      <c r="G5" s="57"/>
      <c r="H5" s="57"/>
      <c r="I5" s="58"/>
    </row>
    <row r="6" spans="1:9" ht="28.5" customHeight="1" thickBot="1" x14ac:dyDescent="0.6">
      <c r="C6" s="34" t="e">
        <f ca="1">UPPER(TEXT(C9,"DDD"))</f>
        <v>#NAME?</v>
      </c>
      <c r="D6" s="34" t="e">
        <f t="shared" ref="D6:I6" ca="1" si="0">UPPER(TEXT(D9,"DDD"))</f>
        <v>#NAME?</v>
      </c>
      <c r="E6" s="34" t="e">
        <f t="shared" ca="1" si="0"/>
        <v>#NAME?</v>
      </c>
      <c r="F6" s="34" t="e">
        <f t="shared" ca="1" si="0"/>
        <v>#NAME?</v>
      </c>
      <c r="G6" s="34" t="e">
        <f t="shared" ca="1" si="0"/>
        <v>#NAME?</v>
      </c>
      <c r="H6" s="34" t="e">
        <f t="shared" ca="1" si="0"/>
        <v>#NAME?</v>
      </c>
      <c r="I6" s="34" t="e">
        <f t="shared" ca="1" si="0"/>
        <v>#NAME?</v>
      </c>
    </row>
    <row r="7" spans="1:9" ht="28.5" customHeight="1" x14ac:dyDescent="0.55000000000000004">
      <c r="C7" s="38" t="e" cm="1">
        <f t="array" aca="1" ref="C7:I18" ca="1">_xlfn.ANCHORARRAY(Calc!AS13)</f>
        <v>#NAME?</v>
      </c>
      <c r="D7" s="38" t="e">
        <f ca="1"/>
        <v>#NAME?</v>
      </c>
      <c r="E7" s="38" t="e">
        <f ca="1"/>
        <v>#NAME?</v>
      </c>
      <c r="F7" s="38" t="e">
        <f ca="1"/>
        <v>#NAME?</v>
      </c>
      <c r="G7" s="38" t="e">
        <f ca="1"/>
        <v>#NAME?</v>
      </c>
      <c r="H7" s="38" t="e">
        <f ca="1"/>
        <v>#NAME?</v>
      </c>
      <c r="I7" s="39" t="e">
        <f ca="1"/>
        <v>#NAME?</v>
      </c>
    </row>
    <row r="8" spans="1:9" ht="54" customHeight="1" thickBot="1" x14ac:dyDescent="0.6">
      <c r="C8" s="40" t="e">
        <f ca="1"/>
        <v>#NAME?</v>
      </c>
      <c r="D8" s="40" t="e">
        <f ca="1"/>
        <v>#NAME?</v>
      </c>
      <c r="E8" s="40" t="e">
        <f ca="1"/>
        <v>#NAME?</v>
      </c>
      <c r="F8" s="40" t="e">
        <f ca="1"/>
        <v>#NAME?</v>
      </c>
      <c r="G8" s="40" t="e">
        <f ca="1"/>
        <v>#NAME?</v>
      </c>
      <c r="H8" s="40" t="e">
        <f ca="1"/>
        <v>#NAME?</v>
      </c>
      <c r="I8" s="41" t="e">
        <f ca="1"/>
        <v>#NAME?</v>
      </c>
    </row>
    <row r="9" spans="1:9" ht="28.5" customHeight="1" x14ac:dyDescent="0.55000000000000004">
      <c r="C9" s="38" t="e">
        <f ca="1"/>
        <v>#NAME?</v>
      </c>
      <c r="D9" s="38" t="e">
        <f ca="1"/>
        <v>#NAME?</v>
      </c>
      <c r="E9" s="38" t="e">
        <f ca="1"/>
        <v>#NAME?</v>
      </c>
      <c r="F9" s="38" t="e">
        <f ca="1"/>
        <v>#NAME?</v>
      </c>
      <c r="G9" s="38" t="e">
        <f ca="1"/>
        <v>#NAME?</v>
      </c>
      <c r="H9" s="38" t="e">
        <f ca="1"/>
        <v>#NAME?</v>
      </c>
      <c r="I9" s="39" t="e">
        <f ca="1"/>
        <v>#NAME?</v>
      </c>
    </row>
    <row r="10" spans="1:9" ht="54" customHeight="1" thickBot="1" x14ac:dyDescent="0.6">
      <c r="C10" s="40" t="e">
        <f ca="1"/>
        <v>#NAME?</v>
      </c>
      <c r="D10" s="40" t="e">
        <f ca="1"/>
        <v>#NAME?</v>
      </c>
      <c r="E10" s="40" t="e">
        <f ca="1"/>
        <v>#NAME?</v>
      </c>
      <c r="F10" s="40" t="e">
        <f ca="1"/>
        <v>#NAME?</v>
      </c>
      <c r="G10" s="40" t="e">
        <f ca="1"/>
        <v>#NAME?</v>
      </c>
      <c r="H10" s="40" t="e">
        <f ca="1"/>
        <v>#NAME?</v>
      </c>
      <c r="I10" s="41" t="e">
        <f ca="1"/>
        <v>#NAME?</v>
      </c>
    </row>
    <row r="11" spans="1:9" ht="28.5" customHeight="1" x14ac:dyDescent="0.55000000000000004">
      <c r="C11" s="38" t="e">
        <f ca="1"/>
        <v>#NAME?</v>
      </c>
      <c r="D11" s="38" t="e">
        <f ca="1"/>
        <v>#NAME?</v>
      </c>
      <c r="E11" s="38" t="e">
        <f ca="1"/>
        <v>#NAME?</v>
      </c>
      <c r="F11" s="38" t="e">
        <f ca="1"/>
        <v>#NAME?</v>
      </c>
      <c r="G11" s="38" t="e">
        <f ca="1"/>
        <v>#NAME?</v>
      </c>
      <c r="H11" s="38" t="e">
        <f ca="1"/>
        <v>#NAME?</v>
      </c>
      <c r="I11" s="39" t="e">
        <f ca="1"/>
        <v>#NAME?</v>
      </c>
    </row>
    <row r="12" spans="1:9" ht="54" customHeight="1" thickBot="1" x14ac:dyDescent="0.6">
      <c r="C12" s="40" t="e">
        <f ca="1"/>
        <v>#NAME?</v>
      </c>
      <c r="D12" s="40" t="e">
        <f ca="1"/>
        <v>#NAME?</v>
      </c>
      <c r="E12" s="40" t="e">
        <f ca="1"/>
        <v>#NAME?</v>
      </c>
      <c r="F12" s="40" t="e">
        <f ca="1"/>
        <v>#NAME?</v>
      </c>
      <c r="G12" s="40" t="e">
        <f ca="1"/>
        <v>#NAME?</v>
      </c>
      <c r="H12" s="40" t="e">
        <f ca="1"/>
        <v>#NAME?</v>
      </c>
      <c r="I12" s="41" t="e">
        <f ca="1"/>
        <v>#NAME?</v>
      </c>
    </row>
    <row r="13" spans="1:9" ht="28.5" customHeight="1" x14ac:dyDescent="0.55000000000000004">
      <c r="C13" s="38" t="e">
        <f ca="1"/>
        <v>#NAME?</v>
      </c>
      <c r="D13" s="38" t="e">
        <f ca="1"/>
        <v>#NAME?</v>
      </c>
      <c r="E13" s="38" t="e">
        <f ca="1"/>
        <v>#NAME?</v>
      </c>
      <c r="F13" s="38" t="e">
        <f ca="1"/>
        <v>#NAME?</v>
      </c>
      <c r="G13" s="38" t="e">
        <f ca="1"/>
        <v>#NAME?</v>
      </c>
      <c r="H13" s="38" t="e">
        <f ca="1"/>
        <v>#NAME?</v>
      </c>
      <c r="I13" s="39" t="e">
        <f ca="1"/>
        <v>#NAME?</v>
      </c>
    </row>
    <row r="14" spans="1:9" ht="54" customHeight="1" thickBot="1" x14ac:dyDescent="0.6">
      <c r="C14" s="40" t="e">
        <f ca="1"/>
        <v>#NAME?</v>
      </c>
      <c r="D14" s="40" t="e">
        <f ca="1"/>
        <v>#NAME?</v>
      </c>
      <c r="E14" s="40" t="e">
        <f ca="1"/>
        <v>#NAME?</v>
      </c>
      <c r="F14" s="40" t="e">
        <f ca="1"/>
        <v>#NAME?</v>
      </c>
      <c r="G14" s="40" t="e">
        <f ca="1"/>
        <v>#NAME?</v>
      </c>
      <c r="H14" s="40" t="e">
        <f ca="1"/>
        <v>#NAME?</v>
      </c>
      <c r="I14" s="41" t="e">
        <f ca="1"/>
        <v>#NAME?</v>
      </c>
    </row>
    <row r="15" spans="1:9" ht="28.5" customHeight="1" x14ac:dyDescent="0.55000000000000004">
      <c r="C15" s="38" t="e">
        <f ca="1"/>
        <v>#NAME?</v>
      </c>
      <c r="D15" s="38" t="e">
        <f ca="1"/>
        <v>#NAME?</v>
      </c>
      <c r="E15" s="38" t="e">
        <f ca="1"/>
        <v>#NAME?</v>
      </c>
      <c r="F15" s="38" t="e">
        <f ca="1"/>
        <v>#NAME?</v>
      </c>
      <c r="G15" s="38" t="e">
        <f ca="1"/>
        <v>#NAME?</v>
      </c>
      <c r="H15" s="38" t="e">
        <f ca="1"/>
        <v>#NAME?</v>
      </c>
      <c r="I15" s="39" t="e">
        <f ca="1"/>
        <v>#NAME?</v>
      </c>
    </row>
    <row r="16" spans="1:9" ht="54" customHeight="1" thickBot="1" x14ac:dyDescent="0.6">
      <c r="C16" s="40" t="e">
        <f ca="1"/>
        <v>#NAME?</v>
      </c>
      <c r="D16" s="40" t="e">
        <f ca="1"/>
        <v>#NAME?</v>
      </c>
      <c r="E16" s="40" t="e">
        <f ca="1"/>
        <v>#NAME?</v>
      </c>
      <c r="F16" s="40" t="e">
        <f ca="1"/>
        <v>#NAME?</v>
      </c>
      <c r="G16" s="40" t="e">
        <f ca="1"/>
        <v>#NAME?</v>
      </c>
      <c r="H16" s="40" t="e">
        <f ca="1"/>
        <v>#NAME?</v>
      </c>
      <c r="I16" s="41" t="e">
        <f ca="1"/>
        <v>#NAME?</v>
      </c>
    </row>
    <row r="17" spans="3:9" ht="28.5" customHeight="1" x14ac:dyDescent="0.55000000000000004">
      <c r="C17" s="38" t="e">
        <f ca="1"/>
        <v>#NAME?</v>
      </c>
      <c r="D17" s="38" t="e">
        <f ca="1"/>
        <v>#NAME?</v>
      </c>
      <c r="E17" s="38" t="e">
        <f ca="1"/>
        <v>#NAME?</v>
      </c>
      <c r="F17" s="38" t="e">
        <f ca="1"/>
        <v>#NAME?</v>
      </c>
      <c r="G17" s="38" t="e">
        <f ca="1"/>
        <v>#NAME?</v>
      </c>
      <c r="H17" s="38" t="e">
        <f ca="1"/>
        <v>#NAME?</v>
      </c>
      <c r="I17" s="39" t="e">
        <f ca="1"/>
        <v>#NAME?</v>
      </c>
    </row>
    <row r="18" spans="3:9" ht="54" customHeight="1" thickBot="1" x14ac:dyDescent="0.6">
      <c r="C18" s="40" t="e">
        <f ca="1"/>
        <v>#NAME?</v>
      </c>
      <c r="D18" s="40" t="e">
        <f ca="1"/>
        <v>#NAME?</v>
      </c>
      <c r="E18" s="40" t="e">
        <f ca="1"/>
        <v>#NAME?</v>
      </c>
      <c r="F18" s="40" t="e">
        <f ca="1"/>
        <v>#NAME?</v>
      </c>
      <c r="G18" s="40" t="e">
        <f ca="1"/>
        <v>#NAME?</v>
      </c>
      <c r="H18" s="40" t="e">
        <f ca="1"/>
        <v>#NAME?</v>
      </c>
      <c r="I18" s="41" t="e">
        <f ca="1"/>
        <v>#NAME?</v>
      </c>
    </row>
    <row r="19" spans="3:9" ht="15.75" customHeight="1" x14ac:dyDescent="0.55000000000000004"/>
    <row r="20" spans="3:9" ht="14.7" thickBot="1" x14ac:dyDescent="0.6"/>
    <row r="21" spans="3:9" ht="39" customHeight="1" x14ac:dyDescent="0.55000000000000004">
      <c r="C21" s="56" t="e">
        <f ca="1">TEXT(C25,"MMMM YYYY")</f>
        <v>#NAME?</v>
      </c>
      <c r="D21" s="57"/>
      <c r="E21" s="57"/>
      <c r="F21" s="57"/>
      <c r="G21" s="57"/>
      <c r="H21" s="57"/>
      <c r="I21" s="58"/>
    </row>
    <row r="22" spans="3:9" ht="28.5" customHeight="1" thickBot="1" x14ac:dyDescent="0.6">
      <c r="C22" s="34" t="e">
        <f ca="1">UPPER(TEXT(C25,"DDD"))</f>
        <v>#NAME?</v>
      </c>
      <c r="D22" s="34" t="e">
        <f t="shared" ref="D22:I22" ca="1" si="1">UPPER(TEXT(D25,"DDD"))</f>
        <v>#NAME?</v>
      </c>
      <c r="E22" s="34" t="e">
        <f t="shared" ca="1" si="1"/>
        <v>#NAME?</v>
      </c>
      <c r="F22" s="34" t="e">
        <f t="shared" ca="1" si="1"/>
        <v>#NAME?</v>
      </c>
      <c r="G22" s="34" t="e">
        <f t="shared" ca="1" si="1"/>
        <v>#NAME?</v>
      </c>
      <c r="H22" s="34" t="e">
        <f t="shared" ca="1" si="1"/>
        <v>#NAME?</v>
      </c>
      <c r="I22" s="34" t="e">
        <f t="shared" ca="1" si="1"/>
        <v>#NAME?</v>
      </c>
    </row>
    <row r="23" spans="3:9" ht="28.5" customHeight="1" x14ac:dyDescent="0.55000000000000004">
      <c r="C23" s="38" t="e" cm="1">
        <f t="array" aca="1" ref="C23:I34" ca="1">_xlfn.ANCHORARRAY(Calc!AS29)</f>
        <v>#NAME?</v>
      </c>
      <c r="D23" s="38" t="e">
        <f ca="1"/>
        <v>#NAME?</v>
      </c>
      <c r="E23" s="38" t="e">
        <f ca="1"/>
        <v>#NAME?</v>
      </c>
      <c r="F23" s="38" t="e">
        <f ca="1"/>
        <v>#NAME?</v>
      </c>
      <c r="G23" s="38" t="e">
        <f ca="1"/>
        <v>#NAME?</v>
      </c>
      <c r="H23" s="38" t="e">
        <f ca="1"/>
        <v>#NAME?</v>
      </c>
      <c r="I23" s="39" t="e">
        <f ca="1"/>
        <v>#NAME?</v>
      </c>
    </row>
    <row r="24" spans="3:9" ht="54" customHeight="1" thickBot="1" x14ac:dyDescent="0.6">
      <c r="C24" s="40" t="e">
        <f ca="1"/>
        <v>#NAME?</v>
      </c>
      <c r="D24" s="40" t="e">
        <f ca="1"/>
        <v>#NAME?</v>
      </c>
      <c r="E24" s="40" t="e">
        <f ca="1"/>
        <v>#NAME?</v>
      </c>
      <c r="F24" s="40" t="e">
        <f ca="1"/>
        <v>#NAME?</v>
      </c>
      <c r="G24" s="40" t="e">
        <f ca="1"/>
        <v>#NAME?</v>
      </c>
      <c r="H24" s="40" t="e">
        <f ca="1"/>
        <v>#NAME?</v>
      </c>
      <c r="I24" s="41" t="e">
        <f ca="1"/>
        <v>#NAME?</v>
      </c>
    </row>
    <row r="25" spans="3:9" ht="28.5" customHeight="1" x14ac:dyDescent="0.55000000000000004">
      <c r="C25" s="38" t="e">
        <f ca="1"/>
        <v>#NAME?</v>
      </c>
      <c r="D25" s="38" t="e">
        <f ca="1"/>
        <v>#NAME?</v>
      </c>
      <c r="E25" s="38" t="e">
        <f ca="1"/>
        <v>#NAME?</v>
      </c>
      <c r="F25" s="38" t="e">
        <f ca="1"/>
        <v>#NAME?</v>
      </c>
      <c r="G25" s="38" t="e">
        <f ca="1"/>
        <v>#NAME?</v>
      </c>
      <c r="H25" s="38" t="e">
        <f ca="1"/>
        <v>#NAME?</v>
      </c>
      <c r="I25" s="39" t="e">
        <f ca="1"/>
        <v>#NAME?</v>
      </c>
    </row>
    <row r="26" spans="3:9" ht="54" customHeight="1" thickBot="1" x14ac:dyDescent="0.6">
      <c r="C26" s="40" t="e">
        <f ca="1"/>
        <v>#NAME?</v>
      </c>
      <c r="D26" s="40" t="e">
        <f ca="1"/>
        <v>#NAME?</v>
      </c>
      <c r="E26" s="40" t="e">
        <f ca="1"/>
        <v>#NAME?</v>
      </c>
      <c r="F26" s="40" t="e">
        <f ca="1"/>
        <v>#NAME?</v>
      </c>
      <c r="G26" s="40" t="e">
        <f ca="1"/>
        <v>#NAME?</v>
      </c>
      <c r="H26" s="40" t="e">
        <f ca="1"/>
        <v>#NAME?</v>
      </c>
      <c r="I26" s="41" t="e">
        <f ca="1"/>
        <v>#NAME?</v>
      </c>
    </row>
    <row r="27" spans="3:9" ht="28.5" customHeight="1" x14ac:dyDescent="0.55000000000000004">
      <c r="C27" s="38" t="e">
        <f ca="1"/>
        <v>#NAME?</v>
      </c>
      <c r="D27" s="38" t="e">
        <f ca="1"/>
        <v>#NAME?</v>
      </c>
      <c r="E27" s="38" t="e">
        <f ca="1"/>
        <v>#NAME?</v>
      </c>
      <c r="F27" s="38" t="e">
        <f ca="1"/>
        <v>#NAME?</v>
      </c>
      <c r="G27" s="38" t="e">
        <f ca="1"/>
        <v>#NAME?</v>
      </c>
      <c r="H27" s="38" t="e">
        <f ca="1"/>
        <v>#NAME?</v>
      </c>
      <c r="I27" s="39" t="e">
        <f ca="1"/>
        <v>#NAME?</v>
      </c>
    </row>
    <row r="28" spans="3:9" ht="54" customHeight="1" thickBot="1" x14ac:dyDescent="0.6">
      <c r="C28" s="40" t="e">
        <f ca="1"/>
        <v>#NAME?</v>
      </c>
      <c r="D28" s="40" t="e">
        <f ca="1"/>
        <v>#NAME?</v>
      </c>
      <c r="E28" s="40" t="e">
        <f ca="1"/>
        <v>#NAME?</v>
      </c>
      <c r="F28" s="40" t="e">
        <f ca="1"/>
        <v>#NAME?</v>
      </c>
      <c r="G28" s="40" t="e">
        <f ca="1"/>
        <v>#NAME?</v>
      </c>
      <c r="H28" s="40" t="e">
        <f ca="1"/>
        <v>#NAME?</v>
      </c>
      <c r="I28" s="41" t="e">
        <f ca="1"/>
        <v>#NAME?</v>
      </c>
    </row>
    <row r="29" spans="3:9" ht="28.5" customHeight="1" x14ac:dyDescent="0.55000000000000004">
      <c r="C29" s="38" t="e">
        <f ca="1"/>
        <v>#NAME?</v>
      </c>
      <c r="D29" s="38" t="e">
        <f ca="1"/>
        <v>#NAME?</v>
      </c>
      <c r="E29" s="38" t="e">
        <f ca="1"/>
        <v>#NAME?</v>
      </c>
      <c r="F29" s="38" t="e">
        <f ca="1"/>
        <v>#NAME?</v>
      </c>
      <c r="G29" s="38" t="e">
        <f ca="1"/>
        <v>#NAME?</v>
      </c>
      <c r="H29" s="38" t="e">
        <f ca="1"/>
        <v>#NAME?</v>
      </c>
      <c r="I29" s="39" t="e">
        <f ca="1"/>
        <v>#NAME?</v>
      </c>
    </row>
    <row r="30" spans="3:9" ht="54" customHeight="1" thickBot="1" x14ac:dyDescent="0.6">
      <c r="C30" s="40" t="e">
        <f ca="1"/>
        <v>#NAME?</v>
      </c>
      <c r="D30" s="40" t="e">
        <f ca="1"/>
        <v>#NAME?</v>
      </c>
      <c r="E30" s="40" t="e">
        <f ca="1"/>
        <v>#NAME?</v>
      </c>
      <c r="F30" s="40" t="e">
        <f ca="1"/>
        <v>#NAME?</v>
      </c>
      <c r="G30" s="40" t="e">
        <f ca="1"/>
        <v>#NAME?</v>
      </c>
      <c r="H30" s="40" t="e">
        <f ca="1"/>
        <v>#NAME?</v>
      </c>
      <c r="I30" s="41" t="e">
        <f ca="1"/>
        <v>#NAME?</v>
      </c>
    </row>
    <row r="31" spans="3:9" ht="28.5" customHeight="1" x14ac:dyDescent="0.55000000000000004">
      <c r="C31" s="38" t="e">
        <f ca="1"/>
        <v>#NAME?</v>
      </c>
      <c r="D31" s="38" t="e">
        <f ca="1"/>
        <v>#NAME?</v>
      </c>
      <c r="E31" s="38" t="e">
        <f ca="1"/>
        <v>#NAME?</v>
      </c>
      <c r="F31" s="38" t="e">
        <f ca="1"/>
        <v>#NAME?</v>
      </c>
      <c r="G31" s="38" t="e">
        <f ca="1"/>
        <v>#NAME?</v>
      </c>
      <c r="H31" s="38" t="e">
        <f ca="1"/>
        <v>#NAME?</v>
      </c>
      <c r="I31" s="39" t="e">
        <f ca="1"/>
        <v>#NAME?</v>
      </c>
    </row>
    <row r="32" spans="3:9" ht="54" customHeight="1" thickBot="1" x14ac:dyDescent="0.6">
      <c r="C32" s="40" t="e">
        <f ca="1"/>
        <v>#NAME?</v>
      </c>
      <c r="D32" s="40" t="e">
        <f ca="1"/>
        <v>#NAME?</v>
      </c>
      <c r="E32" s="40" t="e">
        <f ca="1"/>
        <v>#NAME?</v>
      </c>
      <c r="F32" s="40" t="e">
        <f ca="1"/>
        <v>#NAME?</v>
      </c>
      <c r="G32" s="40" t="e">
        <f ca="1"/>
        <v>#NAME?</v>
      </c>
      <c r="H32" s="40" t="e">
        <f ca="1"/>
        <v>#NAME?</v>
      </c>
      <c r="I32" s="41" t="e">
        <f ca="1"/>
        <v>#NAME?</v>
      </c>
    </row>
    <row r="33" spans="3:9" ht="28.5" customHeight="1" x14ac:dyDescent="0.55000000000000004">
      <c r="C33" s="38" t="e">
        <f ca="1"/>
        <v>#NAME?</v>
      </c>
      <c r="D33" s="38" t="e">
        <f ca="1"/>
        <v>#NAME?</v>
      </c>
      <c r="E33" s="38" t="e">
        <f ca="1"/>
        <v>#NAME?</v>
      </c>
      <c r="F33" s="38" t="e">
        <f ca="1"/>
        <v>#NAME?</v>
      </c>
      <c r="G33" s="38" t="e">
        <f ca="1"/>
        <v>#NAME?</v>
      </c>
      <c r="H33" s="38" t="e">
        <f ca="1"/>
        <v>#NAME?</v>
      </c>
      <c r="I33" s="39" t="e">
        <f ca="1"/>
        <v>#NAME?</v>
      </c>
    </row>
    <row r="34" spans="3:9" ht="54" customHeight="1" thickBot="1" x14ac:dyDescent="0.6">
      <c r="C34" s="40" t="e">
        <f ca="1"/>
        <v>#NAME?</v>
      </c>
      <c r="D34" s="40" t="e">
        <f ca="1"/>
        <v>#NAME?</v>
      </c>
      <c r="E34" s="40" t="e">
        <f ca="1"/>
        <v>#NAME?</v>
      </c>
      <c r="F34" s="40" t="e">
        <f ca="1"/>
        <v>#NAME?</v>
      </c>
      <c r="G34" s="40" t="e">
        <f ca="1"/>
        <v>#NAME?</v>
      </c>
      <c r="H34" s="40" t="e">
        <f ca="1"/>
        <v>#NAME?</v>
      </c>
      <c r="I34" s="41" t="e">
        <f ca="1"/>
        <v>#NAME?</v>
      </c>
    </row>
    <row r="35" spans="3:9" ht="15.75" customHeight="1" x14ac:dyDescent="0.55000000000000004"/>
    <row r="36" spans="3:9" ht="14.7" thickBot="1" x14ac:dyDescent="0.6"/>
    <row r="37" spans="3:9" ht="39" customHeight="1" x14ac:dyDescent="0.55000000000000004">
      <c r="C37" s="56" t="e">
        <f ca="1">TEXT(C41,"MMMM YYYY")</f>
        <v>#NAME?</v>
      </c>
      <c r="D37" s="57"/>
      <c r="E37" s="57"/>
      <c r="F37" s="57"/>
      <c r="G37" s="57"/>
      <c r="H37" s="57"/>
      <c r="I37" s="58"/>
    </row>
    <row r="38" spans="3:9" ht="28.5" customHeight="1" thickBot="1" x14ac:dyDescent="0.6">
      <c r="C38" s="34" t="e">
        <f ca="1">UPPER(TEXT(C41,"DDD"))</f>
        <v>#NAME?</v>
      </c>
      <c r="D38" s="34" t="e">
        <f t="shared" ref="D38:I38" ca="1" si="2">UPPER(TEXT(D41,"DDD"))</f>
        <v>#NAME?</v>
      </c>
      <c r="E38" s="34" t="e">
        <f t="shared" ca="1" si="2"/>
        <v>#NAME?</v>
      </c>
      <c r="F38" s="34" t="e">
        <f t="shared" ca="1" si="2"/>
        <v>#NAME?</v>
      </c>
      <c r="G38" s="34" t="e">
        <f t="shared" ca="1" si="2"/>
        <v>#NAME?</v>
      </c>
      <c r="H38" s="34" t="e">
        <f t="shared" ca="1" si="2"/>
        <v>#NAME?</v>
      </c>
      <c r="I38" s="34" t="e">
        <f t="shared" ca="1" si="2"/>
        <v>#NAME?</v>
      </c>
    </row>
    <row r="39" spans="3:9" ht="28.5" customHeight="1" x14ac:dyDescent="0.55000000000000004">
      <c r="C39" s="38" t="e" cm="1">
        <f t="array" aca="1" ref="C39:I50" ca="1">_xlfn.ANCHORARRAY(Calc!AS45)</f>
        <v>#NAME?</v>
      </c>
      <c r="D39" s="38" t="e">
        <f ca="1"/>
        <v>#NAME?</v>
      </c>
      <c r="E39" s="38" t="e">
        <f ca="1"/>
        <v>#NAME?</v>
      </c>
      <c r="F39" s="38" t="e">
        <f ca="1"/>
        <v>#NAME?</v>
      </c>
      <c r="G39" s="38" t="e">
        <f ca="1"/>
        <v>#NAME?</v>
      </c>
      <c r="H39" s="38" t="e">
        <f ca="1"/>
        <v>#NAME?</v>
      </c>
      <c r="I39" s="39" t="e">
        <f ca="1"/>
        <v>#NAME?</v>
      </c>
    </row>
    <row r="40" spans="3:9" ht="54" customHeight="1" thickBot="1" x14ac:dyDescent="0.6">
      <c r="C40" s="40" t="e">
        <f ca="1"/>
        <v>#NAME?</v>
      </c>
      <c r="D40" s="40" t="e">
        <f ca="1"/>
        <v>#NAME?</v>
      </c>
      <c r="E40" s="40" t="e">
        <f ca="1"/>
        <v>#NAME?</v>
      </c>
      <c r="F40" s="40" t="e">
        <f ca="1"/>
        <v>#NAME?</v>
      </c>
      <c r="G40" s="40" t="e">
        <f ca="1"/>
        <v>#NAME?</v>
      </c>
      <c r="H40" s="40" t="e">
        <f ca="1"/>
        <v>#NAME?</v>
      </c>
      <c r="I40" s="41" t="e">
        <f ca="1"/>
        <v>#NAME?</v>
      </c>
    </row>
    <row r="41" spans="3:9" ht="28.5" customHeight="1" x14ac:dyDescent="0.55000000000000004">
      <c r="C41" s="38" t="e">
        <f ca="1"/>
        <v>#NAME?</v>
      </c>
      <c r="D41" s="38" t="e">
        <f ca="1"/>
        <v>#NAME?</v>
      </c>
      <c r="E41" s="38" t="e">
        <f ca="1"/>
        <v>#NAME?</v>
      </c>
      <c r="F41" s="38" t="e">
        <f ca="1"/>
        <v>#NAME?</v>
      </c>
      <c r="G41" s="38" t="e">
        <f ca="1"/>
        <v>#NAME?</v>
      </c>
      <c r="H41" s="38" t="e">
        <f ca="1"/>
        <v>#NAME?</v>
      </c>
      <c r="I41" s="39" t="e">
        <f ca="1"/>
        <v>#NAME?</v>
      </c>
    </row>
    <row r="42" spans="3:9" ht="54" customHeight="1" thickBot="1" x14ac:dyDescent="0.6">
      <c r="C42" s="40" t="e">
        <f ca="1"/>
        <v>#NAME?</v>
      </c>
      <c r="D42" s="40" t="e">
        <f ca="1"/>
        <v>#NAME?</v>
      </c>
      <c r="E42" s="40" t="e">
        <f ca="1"/>
        <v>#NAME?</v>
      </c>
      <c r="F42" s="40" t="e">
        <f ca="1"/>
        <v>#NAME?</v>
      </c>
      <c r="G42" s="40" t="e">
        <f ca="1"/>
        <v>#NAME?</v>
      </c>
      <c r="H42" s="40" t="e">
        <f ca="1"/>
        <v>#NAME?</v>
      </c>
      <c r="I42" s="41" t="e">
        <f ca="1"/>
        <v>#NAME?</v>
      </c>
    </row>
    <row r="43" spans="3:9" ht="28.5" customHeight="1" x14ac:dyDescent="0.55000000000000004">
      <c r="C43" s="38" t="e">
        <f ca="1"/>
        <v>#NAME?</v>
      </c>
      <c r="D43" s="38" t="e">
        <f ca="1"/>
        <v>#NAME?</v>
      </c>
      <c r="E43" s="38" t="e">
        <f ca="1"/>
        <v>#NAME?</v>
      </c>
      <c r="F43" s="38" t="e">
        <f ca="1"/>
        <v>#NAME?</v>
      </c>
      <c r="G43" s="38" t="e">
        <f ca="1"/>
        <v>#NAME?</v>
      </c>
      <c r="H43" s="38" t="e">
        <f ca="1"/>
        <v>#NAME?</v>
      </c>
      <c r="I43" s="39" t="e">
        <f ca="1"/>
        <v>#NAME?</v>
      </c>
    </row>
    <row r="44" spans="3:9" ht="54" customHeight="1" thickBot="1" x14ac:dyDescent="0.6">
      <c r="C44" s="40" t="e">
        <f ca="1"/>
        <v>#NAME?</v>
      </c>
      <c r="D44" s="40" t="e">
        <f ca="1"/>
        <v>#NAME?</v>
      </c>
      <c r="E44" s="40" t="e">
        <f ca="1"/>
        <v>#NAME?</v>
      </c>
      <c r="F44" s="40" t="e">
        <f ca="1"/>
        <v>#NAME?</v>
      </c>
      <c r="G44" s="40" t="e">
        <f ca="1"/>
        <v>#NAME?</v>
      </c>
      <c r="H44" s="40" t="e">
        <f ca="1"/>
        <v>#NAME?</v>
      </c>
      <c r="I44" s="41" t="e">
        <f ca="1"/>
        <v>#NAME?</v>
      </c>
    </row>
    <row r="45" spans="3:9" ht="28.5" customHeight="1" x14ac:dyDescent="0.55000000000000004">
      <c r="C45" s="38" t="e">
        <f ca="1"/>
        <v>#NAME?</v>
      </c>
      <c r="D45" s="38" t="e">
        <f ca="1"/>
        <v>#NAME?</v>
      </c>
      <c r="E45" s="38" t="e">
        <f ca="1"/>
        <v>#NAME?</v>
      </c>
      <c r="F45" s="38" t="e">
        <f ca="1"/>
        <v>#NAME?</v>
      </c>
      <c r="G45" s="38" t="e">
        <f ca="1"/>
        <v>#NAME?</v>
      </c>
      <c r="H45" s="38" t="e">
        <f ca="1"/>
        <v>#NAME?</v>
      </c>
      <c r="I45" s="39" t="e">
        <f ca="1"/>
        <v>#NAME?</v>
      </c>
    </row>
    <row r="46" spans="3:9" ht="54" customHeight="1" thickBot="1" x14ac:dyDescent="0.6">
      <c r="C46" s="40" t="e">
        <f ca="1"/>
        <v>#NAME?</v>
      </c>
      <c r="D46" s="40" t="e">
        <f ca="1"/>
        <v>#NAME?</v>
      </c>
      <c r="E46" s="40" t="e">
        <f ca="1"/>
        <v>#NAME?</v>
      </c>
      <c r="F46" s="40" t="e">
        <f ca="1"/>
        <v>#NAME?</v>
      </c>
      <c r="G46" s="40" t="e">
        <f ca="1"/>
        <v>#NAME?</v>
      </c>
      <c r="H46" s="40" t="e">
        <f ca="1"/>
        <v>#NAME?</v>
      </c>
      <c r="I46" s="41" t="e">
        <f ca="1"/>
        <v>#NAME?</v>
      </c>
    </row>
    <row r="47" spans="3:9" ht="28.5" customHeight="1" x14ac:dyDescent="0.55000000000000004">
      <c r="C47" s="38" t="e">
        <f ca="1"/>
        <v>#NAME?</v>
      </c>
      <c r="D47" s="38" t="e">
        <f ca="1"/>
        <v>#NAME?</v>
      </c>
      <c r="E47" s="38" t="e">
        <f ca="1"/>
        <v>#NAME?</v>
      </c>
      <c r="F47" s="38" t="e">
        <f ca="1"/>
        <v>#NAME?</v>
      </c>
      <c r="G47" s="38" t="e">
        <f ca="1"/>
        <v>#NAME?</v>
      </c>
      <c r="H47" s="38" t="e">
        <f ca="1"/>
        <v>#NAME?</v>
      </c>
      <c r="I47" s="39" t="e">
        <f ca="1"/>
        <v>#NAME?</v>
      </c>
    </row>
    <row r="48" spans="3:9" ht="54" customHeight="1" thickBot="1" x14ac:dyDescent="0.6">
      <c r="C48" s="40" t="e">
        <f ca="1"/>
        <v>#NAME?</v>
      </c>
      <c r="D48" s="40" t="e">
        <f ca="1"/>
        <v>#NAME?</v>
      </c>
      <c r="E48" s="40" t="e">
        <f ca="1"/>
        <v>#NAME?</v>
      </c>
      <c r="F48" s="40" t="e">
        <f ca="1"/>
        <v>#NAME?</v>
      </c>
      <c r="G48" s="40" t="e">
        <f ca="1"/>
        <v>#NAME?</v>
      </c>
      <c r="H48" s="40" t="e">
        <f ca="1"/>
        <v>#NAME?</v>
      </c>
      <c r="I48" s="41" t="e">
        <f ca="1"/>
        <v>#NAME?</v>
      </c>
    </row>
    <row r="49" spans="3:9" ht="28.5" customHeight="1" x14ac:dyDescent="0.55000000000000004">
      <c r="C49" s="38" t="e">
        <f ca="1"/>
        <v>#NAME?</v>
      </c>
      <c r="D49" s="38" t="e">
        <f ca="1"/>
        <v>#NAME?</v>
      </c>
      <c r="E49" s="38" t="e">
        <f ca="1"/>
        <v>#NAME?</v>
      </c>
      <c r="F49" s="38" t="e">
        <f ca="1"/>
        <v>#NAME?</v>
      </c>
      <c r="G49" s="38" t="e">
        <f ca="1"/>
        <v>#NAME?</v>
      </c>
      <c r="H49" s="38" t="e">
        <f ca="1"/>
        <v>#NAME?</v>
      </c>
      <c r="I49" s="39" t="e">
        <f ca="1"/>
        <v>#NAME?</v>
      </c>
    </row>
    <row r="50" spans="3:9" ht="54" customHeight="1" thickBot="1" x14ac:dyDescent="0.6">
      <c r="C50" s="40" t="e">
        <f ca="1"/>
        <v>#NAME?</v>
      </c>
      <c r="D50" s="40" t="e">
        <f ca="1"/>
        <v>#NAME?</v>
      </c>
      <c r="E50" s="40" t="e">
        <f ca="1"/>
        <v>#NAME?</v>
      </c>
      <c r="F50" s="40" t="e">
        <f ca="1"/>
        <v>#NAME?</v>
      </c>
      <c r="G50" s="40" t="e">
        <f ca="1"/>
        <v>#NAME?</v>
      </c>
      <c r="H50" s="40" t="e">
        <f ca="1"/>
        <v>#NAME?</v>
      </c>
      <c r="I50" s="41" t="e">
        <f ca="1"/>
        <v>#NAME?</v>
      </c>
    </row>
    <row r="51" spans="3:9" ht="15.75" customHeight="1" x14ac:dyDescent="0.55000000000000004"/>
    <row r="52" spans="3:9" ht="14.7" thickBot="1" x14ac:dyDescent="0.6"/>
    <row r="53" spans="3:9" ht="39" customHeight="1" x14ac:dyDescent="0.55000000000000004">
      <c r="C53" s="56" t="e">
        <f ca="1">TEXT(C57,"MMMM YYYY")</f>
        <v>#NAME?</v>
      </c>
      <c r="D53" s="57"/>
      <c r="E53" s="57"/>
      <c r="F53" s="57"/>
      <c r="G53" s="57"/>
      <c r="H53" s="57"/>
      <c r="I53" s="58"/>
    </row>
    <row r="54" spans="3:9" ht="28.5" customHeight="1" thickBot="1" x14ac:dyDescent="0.6">
      <c r="C54" s="34" t="e">
        <f ca="1">UPPER(TEXT(C57,"DDD"))</f>
        <v>#NAME?</v>
      </c>
      <c r="D54" s="34" t="e">
        <f t="shared" ref="D54:I54" ca="1" si="3">UPPER(TEXT(D57,"DDD"))</f>
        <v>#NAME?</v>
      </c>
      <c r="E54" s="34" t="e">
        <f t="shared" ca="1" si="3"/>
        <v>#NAME?</v>
      </c>
      <c r="F54" s="34" t="e">
        <f t="shared" ca="1" si="3"/>
        <v>#NAME?</v>
      </c>
      <c r="G54" s="34" t="e">
        <f t="shared" ca="1" si="3"/>
        <v>#NAME?</v>
      </c>
      <c r="H54" s="34" t="e">
        <f t="shared" ca="1" si="3"/>
        <v>#NAME?</v>
      </c>
      <c r="I54" s="34" t="e">
        <f t="shared" ca="1" si="3"/>
        <v>#NAME?</v>
      </c>
    </row>
    <row r="55" spans="3:9" ht="28.5" customHeight="1" x14ac:dyDescent="0.55000000000000004">
      <c r="C55" s="38" t="e" cm="1">
        <f t="array" aca="1" ref="C55:I66" ca="1">_xlfn.ANCHORARRAY(Calc!AS61)</f>
        <v>#NAME?</v>
      </c>
      <c r="D55" s="38" t="e">
        <f ca="1"/>
        <v>#NAME?</v>
      </c>
      <c r="E55" s="38" t="e">
        <f ca="1"/>
        <v>#NAME?</v>
      </c>
      <c r="F55" s="38" t="e">
        <f ca="1"/>
        <v>#NAME?</v>
      </c>
      <c r="G55" s="38" t="e">
        <f ca="1"/>
        <v>#NAME?</v>
      </c>
      <c r="H55" s="38" t="e">
        <f ca="1"/>
        <v>#NAME?</v>
      </c>
      <c r="I55" s="39" t="e">
        <f ca="1"/>
        <v>#NAME?</v>
      </c>
    </row>
    <row r="56" spans="3:9" ht="54" customHeight="1" thickBot="1" x14ac:dyDescent="0.6">
      <c r="C56" s="40" t="e">
        <f ca="1"/>
        <v>#NAME?</v>
      </c>
      <c r="D56" s="40" t="e">
        <f ca="1"/>
        <v>#NAME?</v>
      </c>
      <c r="E56" s="40" t="e">
        <f ca="1"/>
        <v>#NAME?</v>
      </c>
      <c r="F56" s="40" t="e">
        <f ca="1"/>
        <v>#NAME?</v>
      </c>
      <c r="G56" s="40" t="e">
        <f ca="1"/>
        <v>#NAME?</v>
      </c>
      <c r="H56" s="40" t="e">
        <f ca="1"/>
        <v>#NAME?</v>
      </c>
      <c r="I56" s="41" t="e">
        <f ca="1"/>
        <v>#NAME?</v>
      </c>
    </row>
    <row r="57" spans="3:9" ht="28.5" customHeight="1" x14ac:dyDescent="0.55000000000000004">
      <c r="C57" s="38" t="e">
        <f ca="1"/>
        <v>#NAME?</v>
      </c>
      <c r="D57" s="38" t="e">
        <f ca="1"/>
        <v>#NAME?</v>
      </c>
      <c r="E57" s="38" t="e">
        <f ca="1"/>
        <v>#NAME?</v>
      </c>
      <c r="F57" s="38" t="e">
        <f ca="1"/>
        <v>#NAME?</v>
      </c>
      <c r="G57" s="38" t="e">
        <f ca="1"/>
        <v>#NAME?</v>
      </c>
      <c r="H57" s="38" t="e">
        <f ca="1"/>
        <v>#NAME?</v>
      </c>
      <c r="I57" s="39" t="e">
        <f ca="1"/>
        <v>#NAME?</v>
      </c>
    </row>
    <row r="58" spans="3:9" ht="54" customHeight="1" thickBot="1" x14ac:dyDescent="0.6">
      <c r="C58" s="40" t="e">
        <f ca="1"/>
        <v>#NAME?</v>
      </c>
      <c r="D58" s="40" t="e">
        <f ca="1"/>
        <v>#NAME?</v>
      </c>
      <c r="E58" s="40" t="e">
        <f ca="1"/>
        <v>#NAME?</v>
      </c>
      <c r="F58" s="40" t="e">
        <f ca="1"/>
        <v>#NAME?</v>
      </c>
      <c r="G58" s="40" t="e">
        <f ca="1"/>
        <v>#NAME?</v>
      </c>
      <c r="H58" s="40" t="e">
        <f ca="1"/>
        <v>#NAME?</v>
      </c>
      <c r="I58" s="41" t="e">
        <f ca="1"/>
        <v>#NAME?</v>
      </c>
    </row>
    <row r="59" spans="3:9" ht="28.5" customHeight="1" x14ac:dyDescent="0.55000000000000004">
      <c r="C59" s="38" t="e">
        <f ca="1"/>
        <v>#NAME?</v>
      </c>
      <c r="D59" s="38" t="e">
        <f ca="1"/>
        <v>#NAME?</v>
      </c>
      <c r="E59" s="38" t="e">
        <f ca="1"/>
        <v>#NAME?</v>
      </c>
      <c r="F59" s="38" t="e">
        <f ca="1"/>
        <v>#NAME?</v>
      </c>
      <c r="G59" s="38" t="e">
        <f ca="1"/>
        <v>#NAME?</v>
      </c>
      <c r="H59" s="38" t="e">
        <f ca="1"/>
        <v>#NAME?</v>
      </c>
      <c r="I59" s="39" t="e">
        <f ca="1"/>
        <v>#NAME?</v>
      </c>
    </row>
    <row r="60" spans="3:9" ht="54" customHeight="1" thickBot="1" x14ac:dyDescent="0.6">
      <c r="C60" s="40" t="e">
        <f ca="1"/>
        <v>#NAME?</v>
      </c>
      <c r="D60" s="40" t="e">
        <f ca="1"/>
        <v>#NAME?</v>
      </c>
      <c r="E60" s="40" t="e">
        <f ca="1"/>
        <v>#NAME?</v>
      </c>
      <c r="F60" s="40" t="e">
        <f ca="1"/>
        <v>#NAME?</v>
      </c>
      <c r="G60" s="40" t="e">
        <f ca="1"/>
        <v>#NAME?</v>
      </c>
      <c r="H60" s="40" t="e">
        <f ca="1"/>
        <v>#NAME?</v>
      </c>
      <c r="I60" s="41" t="e">
        <f ca="1"/>
        <v>#NAME?</v>
      </c>
    </row>
    <row r="61" spans="3:9" ht="28.5" customHeight="1" x14ac:dyDescent="0.55000000000000004">
      <c r="C61" s="38" t="e">
        <f ca="1"/>
        <v>#NAME?</v>
      </c>
      <c r="D61" s="38" t="e">
        <f ca="1"/>
        <v>#NAME?</v>
      </c>
      <c r="E61" s="38" t="e">
        <f ca="1"/>
        <v>#NAME?</v>
      </c>
      <c r="F61" s="38" t="e">
        <f ca="1"/>
        <v>#NAME?</v>
      </c>
      <c r="G61" s="38" t="e">
        <f ca="1"/>
        <v>#NAME?</v>
      </c>
      <c r="H61" s="38" t="e">
        <f ca="1"/>
        <v>#NAME?</v>
      </c>
      <c r="I61" s="39" t="e">
        <f ca="1"/>
        <v>#NAME?</v>
      </c>
    </row>
    <row r="62" spans="3:9" ht="54" customHeight="1" thickBot="1" x14ac:dyDescent="0.6">
      <c r="C62" s="40" t="e">
        <f ca="1"/>
        <v>#NAME?</v>
      </c>
      <c r="D62" s="40" t="e">
        <f ca="1"/>
        <v>#NAME?</v>
      </c>
      <c r="E62" s="40" t="e">
        <f ca="1"/>
        <v>#NAME?</v>
      </c>
      <c r="F62" s="40" t="e">
        <f ca="1"/>
        <v>#NAME?</v>
      </c>
      <c r="G62" s="40" t="e">
        <f ca="1"/>
        <v>#NAME?</v>
      </c>
      <c r="H62" s="40" t="e">
        <f ca="1"/>
        <v>#NAME?</v>
      </c>
      <c r="I62" s="41" t="e">
        <f ca="1"/>
        <v>#NAME?</v>
      </c>
    </row>
    <row r="63" spans="3:9" ht="28.5" customHeight="1" x14ac:dyDescent="0.55000000000000004">
      <c r="C63" s="38" t="e">
        <f ca="1"/>
        <v>#NAME?</v>
      </c>
      <c r="D63" s="38" t="e">
        <f ca="1"/>
        <v>#NAME?</v>
      </c>
      <c r="E63" s="38" t="e">
        <f ca="1"/>
        <v>#NAME?</v>
      </c>
      <c r="F63" s="38" t="e">
        <f ca="1"/>
        <v>#NAME?</v>
      </c>
      <c r="G63" s="38" t="e">
        <f ca="1"/>
        <v>#NAME?</v>
      </c>
      <c r="H63" s="38" t="e">
        <f ca="1"/>
        <v>#NAME?</v>
      </c>
      <c r="I63" s="39" t="e">
        <f ca="1"/>
        <v>#NAME?</v>
      </c>
    </row>
    <row r="64" spans="3:9" ht="54" customHeight="1" thickBot="1" x14ac:dyDescent="0.6">
      <c r="C64" s="40" t="e">
        <f ca="1"/>
        <v>#NAME?</v>
      </c>
      <c r="D64" s="40" t="e">
        <f ca="1"/>
        <v>#NAME?</v>
      </c>
      <c r="E64" s="40" t="e">
        <f ca="1"/>
        <v>#NAME?</v>
      </c>
      <c r="F64" s="40" t="e">
        <f ca="1"/>
        <v>#NAME?</v>
      </c>
      <c r="G64" s="40" t="e">
        <f ca="1"/>
        <v>#NAME?</v>
      </c>
      <c r="H64" s="40" t="e">
        <f ca="1"/>
        <v>#NAME?</v>
      </c>
      <c r="I64" s="41" t="e">
        <f ca="1"/>
        <v>#NAME?</v>
      </c>
    </row>
    <row r="65" spans="3:9" ht="28.5" customHeight="1" x14ac:dyDescent="0.55000000000000004">
      <c r="C65" s="38" t="e">
        <f ca="1"/>
        <v>#NAME?</v>
      </c>
      <c r="D65" s="38" t="e">
        <f ca="1"/>
        <v>#NAME?</v>
      </c>
      <c r="E65" s="38" t="e">
        <f ca="1"/>
        <v>#NAME?</v>
      </c>
      <c r="F65" s="38" t="e">
        <f ca="1"/>
        <v>#NAME?</v>
      </c>
      <c r="G65" s="38" t="e">
        <f ca="1"/>
        <v>#NAME?</v>
      </c>
      <c r="H65" s="38" t="e">
        <f ca="1"/>
        <v>#NAME?</v>
      </c>
      <c r="I65" s="39" t="e">
        <f ca="1"/>
        <v>#NAME?</v>
      </c>
    </row>
    <row r="66" spans="3:9" ht="54" customHeight="1" thickBot="1" x14ac:dyDescent="0.6">
      <c r="C66" s="40" t="e">
        <f ca="1"/>
        <v>#NAME?</v>
      </c>
      <c r="D66" s="40" t="e">
        <f ca="1"/>
        <v>#NAME?</v>
      </c>
      <c r="E66" s="40" t="e">
        <f ca="1"/>
        <v>#NAME?</v>
      </c>
      <c r="F66" s="40" t="e">
        <f ca="1"/>
        <v>#NAME?</v>
      </c>
      <c r="G66" s="40" t="e">
        <f ca="1"/>
        <v>#NAME?</v>
      </c>
      <c r="H66" s="40" t="e">
        <f ca="1"/>
        <v>#NAME?</v>
      </c>
      <c r="I66" s="41" t="e">
        <f ca="1"/>
        <v>#NAME?</v>
      </c>
    </row>
    <row r="67" spans="3:9" ht="15.75" customHeight="1" x14ac:dyDescent="0.55000000000000004"/>
    <row r="68" spans="3:9" ht="14.7" thickBot="1" x14ac:dyDescent="0.6"/>
    <row r="69" spans="3:9" ht="39" customHeight="1" x14ac:dyDescent="0.55000000000000004">
      <c r="C69" s="56" t="e">
        <f ca="1">TEXT(C73,"MMMM YYYY")</f>
        <v>#NAME?</v>
      </c>
      <c r="D69" s="57"/>
      <c r="E69" s="57"/>
      <c r="F69" s="57"/>
      <c r="G69" s="57"/>
      <c r="H69" s="57"/>
      <c r="I69" s="58"/>
    </row>
    <row r="70" spans="3:9" ht="28.5" customHeight="1" thickBot="1" x14ac:dyDescent="0.6">
      <c r="C70" s="34" t="e">
        <f ca="1">UPPER(TEXT(C73,"DDD"))</f>
        <v>#NAME?</v>
      </c>
      <c r="D70" s="34" t="e">
        <f t="shared" ref="D70:I70" ca="1" si="4">UPPER(TEXT(D73,"DDD"))</f>
        <v>#NAME?</v>
      </c>
      <c r="E70" s="34" t="e">
        <f t="shared" ca="1" si="4"/>
        <v>#NAME?</v>
      </c>
      <c r="F70" s="34" t="e">
        <f t="shared" ca="1" si="4"/>
        <v>#NAME?</v>
      </c>
      <c r="G70" s="34" t="e">
        <f t="shared" ca="1" si="4"/>
        <v>#NAME?</v>
      </c>
      <c r="H70" s="34" t="e">
        <f t="shared" ca="1" si="4"/>
        <v>#NAME?</v>
      </c>
      <c r="I70" s="34" t="e">
        <f t="shared" ca="1" si="4"/>
        <v>#NAME?</v>
      </c>
    </row>
    <row r="71" spans="3:9" ht="28.5" customHeight="1" x14ac:dyDescent="0.55000000000000004">
      <c r="C71" s="38" t="e" cm="1">
        <f t="array" aca="1" ref="C71:I82" ca="1">_xlfn.ANCHORARRAY(Calc!AS77)</f>
        <v>#NAME?</v>
      </c>
      <c r="D71" s="38" t="e">
        <f ca="1"/>
        <v>#NAME?</v>
      </c>
      <c r="E71" s="38" t="e">
        <f ca="1"/>
        <v>#NAME?</v>
      </c>
      <c r="F71" s="38" t="e">
        <f ca="1"/>
        <v>#NAME?</v>
      </c>
      <c r="G71" s="38" t="e">
        <f ca="1"/>
        <v>#NAME?</v>
      </c>
      <c r="H71" s="38" t="e">
        <f ca="1"/>
        <v>#NAME?</v>
      </c>
      <c r="I71" s="39" t="e">
        <f ca="1"/>
        <v>#NAME?</v>
      </c>
    </row>
    <row r="72" spans="3:9" ht="54" customHeight="1" thickBot="1" x14ac:dyDescent="0.6">
      <c r="C72" s="40" t="e">
        <f ca="1"/>
        <v>#NAME?</v>
      </c>
      <c r="D72" s="40" t="e">
        <f ca="1"/>
        <v>#NAME?</v>
      </c>
      <c r="E72" s="40" t="e">
        <f ca="1"/>
        <v>#NAME?</v>
      </c>
      <c r="F72" s="40" t="e">
        <f ca="1"/>
        <v>#NAME?</v>
      </c>
      <c r="G72" s="40" t="e">
        <f ca="1"/>
        <v>#NAME?</v>
      </c>
      <c r="H72" s="40" t="e">
        <f ca="1"/>
        <v>#NAME?</v>
      </c>
      <c r="I72" s="41" t="e">
        <f ca="1"/>
        <v>#NAME?</v>
      </c>
    </row>
    <row r="73" spans="3:9" ht="28.5" customHeight="1" x14ac:dyDescent="0.55000000000000004">
      <c r="C73" s="38" t="e">
        <f ca="1"/>
        <v>#NAME?</v>
      </c>
      <c r="D73" s="38" t="e">
        <f ca="1"/>
        <v>#NAME?</v>
      </c>
      <c r="E73" s="38" t="e">
        <f ca="1"/>
        <v>#NAME?</v>
      </c>
      <c r="F73" s="38" t="e">
        <f ca="1"/>
        <v>#NAME?</v>
      </c>
      <c r="G73" s="38" t="e">
        <f ca="1"/>
        <v>#NAME?</v>
      </c>
      <c r="H73" s="38" t="e">
        <f ca="1"/>
        <v>#NAME?</v>
      </c>
      <c r="I73" s="39" t="e">
        <f ca="1"/>
        <v>#NAME?</v>
      </c>
    </row>
    <row r="74" spans="3:9" ht="54" customHeight="1" thickBot="1" x14ac:dyDescent="0.6">
      <c r="C74" s="40" t="e">
        <f ca="1"/>
        <v>#NAME?</v>
      </c>
      <c r="D74" s="40" t="e">
        <f ca="1"/>
        <v>#NAME?</v>
      </c>
      <c r="E74" s="40" t="e">
        <f ca="1"/>
        <v>#NAME?</v>
      </c>
      <c r="F74" s="40" t="e">
        <f ca="1"/>
        <v>#NAME?</v>
      </c>
      <c r="G74" s="40" t="e">
        <f ca="1"/>
        <v>#NAME?</v>
      </c>
      <c r="H74" s="40" t="e">
        <f ca="1"/>
        <v>#NAME?</v>
      </c>
      <c r="I74" s="41" t="e">
        <f ca="1"/>
        <v>#NAME?</v>
      </c>
    </row>
    <row r="75" spans="3:9" ht="28.5" customHeight="1" x14ac:dyDescent="0.55000000000000004">
      <c r="C75" s="38" t="e">
        <f ca="1"/>
        <v>#NAME?</v>
      </c>
      <c r="D75" s="38" t="e">
        <f ca="1"/>
        <v>#NAME?</v>
      </c>
      <c r="E75" s="38" t="e">
        <f ca="1"/>
        <v>#NAME?</v>
      </c>
      <c r="F75" s="38" t="e">
        <f ca="1"/>
        <v>#NAME?</v>
      </c>
      <c r="G75" s="38" t="e">
        <f ca="1"/>
        <v>#NAME?</v>
      </c>
      <c r="H75" s="38" t="e">
        <f ca="1"/>
        <v>#NAME?</v>
      </c>
      <c r="I75" s="39" t="e">
        <f ca="1"/>
        <v>#NAME?</v>
      </c>
    </row>
    <row r="76" spans="3:9" ht="54" customHeight="1" thickBot="1" x14ac:dyDescent="0.6">
      <c r="C76" s="40" t="e">
        <f ca="1"/>
        <v>#NAME?</v>
      </c>
      <c r="D76" s="40" t="e">
        <f ca="1"/>
        <v>#NAME?</v>
      </c>
      <c r="E76" s="40" t="e">
        <f ca="1"/>
        <v>#NAME?</v>
      </c>
      <c r="F76" s="40" t="e">
        <f ca="1"/>
        <v>#NAME?</v>
      </c>
      <c r="G76" s="40" t="e">
        <f ca="1"/>
        <v>#NAME?</v>
      </c>
      <c r="H76" s="40" t="e">
        <f ca="1"/>
        <v>#NAME?</v>
      </c>
      <c r="I76" s="41" t="e">
        <f ca="1"/>
        <v>#NAME?</v>
      </c>
    </row>
    <row r="77" spans="3:9" ht="28.5" customHeight="1" x14ac:dyDescent="0.55000000000000004">
      <c r="C77" s="38" t="e">
        <f ca="1"/>
        <v>#NAME?</v>
      </c>
      <c r="D77" s="38" t="e">
        <f ca="1"/>
        <v>#NAME?</v>
      </c>
      <c r="E77" s="38" t="e">
        <f ca="1"/>
        <v>#NAME?</v>
      </c>
      <c r="F77" s="38" t="e">
        <f ca="1"/>
        <v>#NAME?</v>
      </c>
      <c r="G77" s="38" t="e">
        <f ca="1"/>
        <v>#NAME?</v>
      </c>
      <c r="H77" s="38" t="e">
        <f ca="1"/>
        <v>#NAME?</v>
      </c>
      <c r="I77" s="39" t="e">
        <f ca="1"/>
        <v>#NAME?</v>
      </c>
    </row>
    <row r="78" spans="3:9" ht="54" customHeight="1" thickBot="1" x14ac:dyDescent="0.6">
      <c r="C78" s="40" t="e">
        <f ca="1"/>
        <v>#NAME?</v>
      </c>
      <c r="D78" s="40" t="e">
        <f ca="1"/>
        <v>#NAME?</v>
      </c>
      <c r="E78" s="40" t="e">
        <f ca="1"/>
        <v>#NAME?</v>
      </c>
      <c r="F78" s="40" t="e">
        <f ca="1"/>
        <v>#NAME?</v>
      </c>
      <c r="G78" s="40" t="e">
        <f ca="1"/>
        <v>#NAME?</v>
      </c>
      <c r="H78" s="40" t="e">
        <f ca="1"/>
        <v>#NAME?</v>
      </c>
      <c r="I78" s="41" t="e">
        <f ca="1"/>
        <v>#NAME?</v>
      </c>
    </row>
    <row r="79" spans="3:9" ht="28.5" customHeight="1" x14ac:dyDescent="0.55000000000000004">
      <c r="C79" s="38" t="e">
        <f ca="1"/>
        <v>#NAME?</v>
      </c>
      <c r="D79" s="38" t="e">
        <f ca="1"/>
        <v>#NAME?</v>
      </c>
      <c r="E79" s="38" t="e">
        <f ca="1"/>
        <v>#NAME?</v>
      </c>
      <c r="F79" s="38" t="e">
        <f ca="1"/>
        <v>#NAME?</v>
      </c>
      <c r="G79" s="38" t="e">
        <f ca="1"/>
        <v>#NAME?</v>
      </c>
      <c r="H79" s="38" t="e">
        <f ca="1"/>
        <v>#NAME?</v>
      </c>
      <c r="I79" s="39" t="e">
        <f ca="1"/>
        <v>#NAME?</v>
      </c>
    </row>
    <row r="80" spans="3:9" ht="54" customHeight="1" thickBot="1" x14ac:dyDescent="0.6">
      <c r="C80" s="40" t="e">
        <f ca="1"/>
        <v>#NAME?</v>
      </c>
      <c r="D80" s="40" t="e">
        <f ca="1"/>
        <v>#NAME?</v>
      </c>
      <c r="E80" s="40" t="e">
        <f ca="1"/>
        <v>#NAME?</v>
      </c>
      <c r="F80" s="40" t="e">
        <f ca="1"/>
        <v>#NAME?</v>
      </c>
      <c r="G80" s="40" t="e">
        <f ca="1"/>
        <v>#NAME?</v>
      </c>
      <c r="H80" s="40" t="e">
        <f ca="1"/>
        <v>#NAME?</v>
      </c>
      <c r="I80" s="41" t="e">
        <f ca="1"/>
        <v>#NAME?</v>
      </c>
    </row>
    <row r="81" spans="3:9" ht="28.5" customHeight="1" x14ac:dyDescent="0.55000000000000004">
      <c r="C81" s="38" t="e">
        <f ca="1"/>
        <v>#NAME?</v>
      </c>
      <c r="D81" s="38" t="e">
        <f ca="1"/>
        <v>#NAME?</v>
      </c>
      <c r="E81" s="38" t="e">
        <f ca="1"/>
        <v>#NAME?</v>
      </c>
      <c r="F81" s="38" t="e">
        <f ca="1"/>
        <v>#NAME?</v>
      </c>
      <c r="G81" s="38" t="e">
        <f ca="1"/>
        <v>#NAME?</v>
      </c>
      <c r="H81" s="38" t="e">
        <f ca="1"/>
        <v>#NAME?</v>
      </c>
      <c r="I81" s="39" t="e">
        <f ca="1"/>
        <v>#NAME?</v>
      </c>
    </row>
    <row r="82" spans="3:9" ht="54" customHeight="1" thickBot="1" x14ac:dyDescent="0.6">
      <c r="C82" s="40" t="e">
        <f ca="1"/>
        <v>#NAME?</v>
      </c>
      <c r="D82" s="40" t="e">
        <f ca="1"/>
        <v>#NAME?</v>
      </c>
      <c r="E82" s="40" t="e">
        <f ca="1"/>
        <v>#NAME?</v>
      </c>
      <c r="F82" s="40" t="e">
        <f ca="1"/>
        <v>#NAME?</v>
      </c>
      <c r="G82" s="40" t="e">
        <f ca="1"/>
        <v>#NAME?</v>
      </c>
      <c r="H82" s="40" t="e">
        <f ca="1"/>
        <v>#NAME?</v>
      </c>
      <c r="I82" s="41" t="e">
        <f ca="1"/>
        <v>#NAME?</v>
      </c>
    </row>
    <row r="83" spans="3:9" ht="15.75" customHeight="1" x14ac:dyDescent="0.55000000000000004"/>
    <row r="84" spans="3:9" ht="14.7" thickBot="1" x14ac:dyDescent="0.6"/>
    <row r="85" spans="3:9" ht="39" customHeight="1" x14ac:dyDescent="0.55000000000000004">
      <c r="C85" s="56" t="e">
        <f ca="1">TEXT(C89,"MMMM YYYY")</f>
        <v>#NAME?</v>
      </c>
      <c r="D85" s="57"/>
      <c r="E85" s="57"/>
      <c r="F85" s="57"/>
      <c r="G85" s="57"/>
      <c r="H85" s="57"/>
      <c r="I85" s="58"/>
    </row>
    <row r="86" spans="3:9" ht="28.5" customHeight="1" thickBot="1" x14ac:dyDescent="0.6">
      <c r="C86" s="34" t="e">
        <f ca="1">UPPER(TEXT(C89,"DDD"))</f>
        <v>#NAME?</v>
      </c>
      <c r="D86" s="34" t="e">
        <f t="shared" ref="D86:I86" ca="1" si="5">UPPER(TEXT(D89,"DDD"))</f>
        <v>#NAME?</v>
      </c>
      <c r="E86" s="34" t="e">
        <f t="shared" ca="1" si="5"/>
        <v>#NAME?</v>
      </c>
      <c r="F86" s="34" t="e">
        <f t="shared" ca="1" si="5"/>
        <v>#NAME?</v>
      </c>
      <c r="G86" s="34" t="e">
        <f t="shared" ca="1" si="5"/>
        <v>#NAME?</v>
      </c>
      <c r="H86" s="34" t="e">
        <f t="shared" ca="1" si="5"/>
        <v>#NAME?</v>
      </c>
      <c r="I86" s="34" t="e">
        <f t="shared" ca="1" si="5"/>
        <v>#NAME?</v>
      </c>
    </row>
    <row r="87" spans="3:9" ht="28.5" customHeight="1" x14ac:dyDescent="0.55000000000000004">
      <c r="C87" s="38" t="e" cm="1">
        <f t="array" aca="1" ref="C87:I98" ca="1">_xlfn.ANCHORARRAY(Calc!AS93)</f>
        <v>#NAME?</v>
      </c>
      <c r="D87" s="38" t="e">
        <f ca="1"/>
        <v>#NAME?</v>
      </c>
      <c r="E87" s="38" t="e">
        <f ca="1"/>
        <v>#NAME?</v>
      </c>
      <c r="F87" s="38" t="e">
        <f ca="1"/>
        <v>#NAME?</v>
      </c>
      <c r="G87" s="38" t="e">
        <f ca="1"/>
        <v>#NAME?</v>
      </c>
      <c r="H87" s="38" t="e">
        <f ca="1"/>
        <v>#NAME?</v>
      </c>
      <c r="I87" s="39" t="e">
        <f ca="1"/>
        <v>#NAME?</v>
      </c>
    </row>
    <row r="88" spans="3:9" ht="54" customHeight="1" thickBot="1" x14ac:dyDescent="0.6">
      <c r="C88" s="40" t="e">
        <f ca="1"/>
        <v>#NAME?</v>
      </c>
      <c r="D88" s="40" t="e">
        <f ca="1"/>
        <v>#NAME?</v>
      </c>
      <c r="E88" s="40" t="e">
        <f ca="1"/>
        <v>#NAME?</v>
      </c>
      <c r="F88" s="40" t="e">
        <f ca="1"/>
        <v>#NAME?</v>
      </c>
      <c r="G88" s="40" t="e">
        <f ca="1"/>
        <v>#NAME?</v>
      </c>
      <c r="H88" s="40" t="e">
        <f ca="1"/>
        <v>#NAME?</v>
      </c>
      <c r="I88" s="41" t="e">
        <f ca="1"/>
        <v>#NAME?</v>
      </c>
    </row>
    <row r="89" spans="3:9" ht="28.5" customHeight="1" x14ac:dyDescent="0.55000000000000004">
      <c r="C89" s="38" t="e">
        <f ca="1"/>
        <v>#NAME?</v>
      </c>
      <c r="D89" s="38" t="e">
        <f ca="1"/>
        <v>#NAME?</v>
      </c>
      <c r="E89" s="38" t="e">
        <f ca="1"/>
        <v>#NAME?</v>
      </c>
      <c r="F89" s="38" t="e">
        <f ca="1"/>
        <v>#NAME?</v>
      </c>
      <c r="G89" s="38" t="e">
        <f ca="1"/>
        <v>#NAME?</v>
      </c>
      <c r="H89" s="38" t="e">
        <f ca="1"/>
        <v>#NAME?</v>
      </c>
      <c r="I89" s="39" t="e">
        <f ca="1"/>
        <v>#NAME?</v>
      </c>
    </row>
    <row r="90" spans="3:9" ht="54" customHeight="1" thickBot="1" x14ac:dyDescent="0.6">
      <c r="C90" s="40" t="e">
        <f ca="1"/>
        <v>#NAME?</v>
      </c>
      <c r="D90" s="40" t="e">
        <f ca="1"/>
        <v>#NAME?</v>
      </c>
      <c r="E90" s="40" t="e">
        <f ca="1"/>
        <v>#NAME?</v>
      </c>
      <c r="F90" s="40" t="e">
        <f ca="1"/>
        <v>#NAME?</v>
      </c>
      <c r="G90" s="40" t="e">
        <f ca="1"/>
        <v>#NAME?</v>
      </c>
      <c r="H90" s="40" t="e">
        <f ca="1"/>
        <v>#NAME?</v>
      </c>
      <c r="I90" s="41" t="e">
        <f ca="1"/>
        <v>#NAME?</v>
      </c>
    </row>
    <row r="91" spans="3:9" ht="28.5" customHeight="1" x14ac:dyDescent="0.55000000000000004">
      <c r="C91" s="38" t="e">
        <f ca="1"/>
        <v>#NAME?</v>
      </c>
      <c r="D91" s="38" t="e">
        <f ca="1"/>
        <v>#NAME?</v>
      </c>
      <c r="E91" s="38" t="e">
        <f ca="1"/>
        <v>#NAME?</v>
      </c>
      <c r="F91" s="38" t="e">
        <f ca="1"/>
        <v>#NAME?</v>
      </c>
      <c r="G91" s="38" t="e">
        <f ca="1"/>
        <v>#NAME?</v>
      </c>
      <c r="H91" s="38" t="e">
        <f ca="1"/>
        <v>#NAME?</v>
      </c>
      <c r="I91" s="39" t="e">
        <f ca="1"/>
        <v>#NAME?</v>
      </c>
    </row>
    <row r="92" spans="3:9" ht="54" customHeight="1" thickBot="1" x14ac:dyDescent="0.6">
      <c r="C92" s="40" t="e">
        <f ca="1"/>
        <v>#NAME?</v>
      </c>
      <c r="D92" s="40" t="e">
        <f ca="1"/>
        <v>#NAME?</v>
      </c>
      <c r="E92" s="40" t="e">
        <f ca="1"/>
        <v>#NAME?</v>
      </c>
      <c r="F92" s="40" t="e">
        <f ca="1"/>
        <v>#NAME?</v>
      </c>
      <c r="G92" s="40" t="e">
        <f ca="1"/>
        <v>#NAME?</v>
      </c>
      <c r="H92" s="40" t="e">
        <f ca="1"/>
        <v>#NAME?</v>
      </c>
      <c r="I92" s="41" t="e">
        <f ca="1"/>
        <v>#NAME?</v>
      </c>
    </row>
    <row r="93" spans="3:9" ht="28.5" customHeight="1" x14ac:dyDescent="0.55000000000000004">
      <c r="C93" s="38" t="e">
        <f ca="1"/>
        <v>#NAME?</v>
      </c>
      <c r="D93" s="38" t="e">
        <f ca="1"/>
        <v>#NAME?</v>
      </c>
      <c r="E93" s="38" t="e">
        <f ca="1"/>
        <v>#NAME?</v>
      </c>
      <c r="F93" s="38" t="e">
        <f ca="1"/>
        <v>#NAME?</v>
      </c>
      <c r="G93" s="38" t="e">
        <f ca="1"/>
        <v>#NAME?</v>
      </c>
      <c r="H93" s="38" t="e">
        <f ca="1"/>
        <v>#NAME?</v>
      </c>
      <c r="I93" s="39" t="e">
        <f ca="1"/>
        <v>#NAME?</v>
      </c>
    </row>
    <row r="94" spans="3:9" ht="54" customHeight="1" thickBot="1" x14ac:dyDescent="0.6">
      <c r="C94" s="40" t="e">
        <f ca="1"/>
        <v>#NAME?</v>
      </c>
      <c r="D94" s="40" t="e">
        <f ca="1"/>
        <v>#NAME?</v>
      </c>
      <c r="E94" s="40" t="e">
        <f ca="1"/>
        <v>#NAME?</v>
      </c>
      <c r="F94" s="40" t="e">
        <f ca="1"/>
        <v>#NAME?</v>
      </c>
      <c r="G94" s="40" t="e">
        <f ca="1"/>
        <v>#NAME?</v>
      </c>
      <c r="H94" s="40" t="e">
        <f ca="1"/>
        <v>#NAME?</v>
      </c>
      <c r="I94" s="41" t="e">
        <f ca="1"/>
        <v>#NAME?</v>
      </c>
    </row>
    <row r="95" spans="3:9" ht="28.5" customHeight="1" x14ac:dyDescent="0.55000000000000004">
      <c r="C95" s="38" t="e">
        <f ca="1"/>
        <v>#NAME?</v>
      </c>
      <c r="D95" s="38" t="e">
        <f ca="1"/>
        <v>#NAME?</v>
      </c>
      <c r="E95" s="38" t="e">
        <f ca="1"/>
        <v>#NAME?</v>
      </c>
      <c r="F95" s="38" t="e">
        <f ca="1"/>
        <v>#NAME?</v>
      </c>
      <c r="G95" s="38" t="e">
        <f ca="1"/>
        <v>#NAME?</v>
      </c>
      <c r="H95" s="38" t="e">
        <f ca="1"/>
        <v>#NAME?</v>
      </c>
      <c r="I95" s="39" t="e">
        <f ca="1"/>
        <v>#NAME?</v>
      </c>
    </row>
    <row r="96" spans="3:9" ht="54" customHeight="1" thickBot="1" x14ac:dyDescent="0.6">
      <c r="C96" s="40" t="e">
        <f ca="1"/>
        <v>#NAME?</v>
      </c>
      <c r="D96" s="40" t="e">
        <f ca="1"/>
        <v>#NAME?</v>
      </c>
      <c r="E96" s="40" t="e">
        <f ca="1"/>
        <v>#NAME?</v>
      </c>
      <c r="F96" s="40" t="e">
        <f ca="1"/>
        <v>#NAME?</v>
      </c>
      <c r="G96" s="40" t="e">
        <f ca="1"/>
        <v>#NAME?</v>
      </c>
      <c r="H96" s="40" t="e">
        <f ca="1"/>
        <v>#NAME?</v>
      </c>
      <c r="I96" s="41" t="e">
        <f ca="1"/>
        <v>#NAME?</v>
      </c>
    </row>
    <row r="97" spans="3:9" ht="28.5" customHeight="1" x14ac:dyDescent="0.55000000000000004">
      <c r="C97" s="38" t="e">
        <f ca="1"/>
        <v>#NAME?</v>
      </c>
      <c r="D97" s="38" t="e">
        <f ca="1"/>
        <v>#NAME?</v>
      </c>
      <c r="E97" s="38" t="e">
        <f ca="1"/>
        <v>#NAME?</v>
      </c>
      <c r="F97" s="38" t="e">
        <f ca="1"/>
        <v>#NAME?</v>
      </c>
      <c r="G97" s="38" t="e">
        <f ca="1"/>
        <v>#NAME?</v>
      </c>
      <c r="H97" s="38" t="e">
        <f ca="1"/>
        <v>#NAME?</v>
      </c>
      <c r="I97" s="39" t="e">
        <f ca="1"/>
        <v>#NAME?</v>
      </c>
    </row>
    <row r="98" spans="3:9" ht="54" customHeight="1" thickBot="1" x14ac:dyDescent="0.6">
      <c r="C98" s="40" t="e">
        <f ca="1"/>
        <v>#NAME?</v>
      </c>
      <c r="D98" s="40" t="e">
        <f ca="1"/>
        <v>#NAME?</v>
      </c>
      <c r="E98" s="40" t="e">
        <f ca="1"/>
        <v>#NAME?</v>
      </c>
      <c r="F98" s="40" t="e">
        <f ca="1"/>
        <v>#NAME?</v>
      </c>
      <c r="G98" s="40" t="e">
        <f ca="1"/>
        <v>#NAME?</v>
      </c>
      <c r="H98" s="40" t="e">
        <f ca="1"/>
        <v>#NAME?</v>
      </c>
      <c r="I98" s="41" t="e">
        <f ca="1"/>
        <v>#NAME?</v>
      </c>
    </row>
    <row r="99" spans="3:9" ht="15.75" customHeight="1" x14ac:dyDescent="0.55000000000000004"/>
    <row r="100" spans="3:9" ht="14.7" thickBot="1" x14ac:dyDescent="0.6"/>
    <row r="101" spans="3:9" ht="39" customHeight="1" x14ac:dyDescent="0.55000000000000004">
      <c r="C101" s="56" t="e">
        <f ca="1">TEXT(C105,"MMMM YYYY")</f>
        <v>#NAME?</v>
      </c>
      <c r="D101" s="57"/>
      <c r="E101" s="57"/>
      <c r="F101" s="57"/>
      <c r="G101" s="57"/>
      <c r="H101" s="57"/>
      <c r="I101" s="58"/>
    </row>
    <row r="102" spans="3:9" ht="28.5" customHeight="1" thickBot="1" x14ac:dyDescent="0.6">
      <c r="C102" s="34" t="e">
        <f ca="1">UPPER(TEXT(C105,"DDD"))</f>
        <v>#NAME?</v>
      </c>
      <c r="D102" s="34" t="e">
        <f t="shared" ref="D102:I102" ca="1" si="6">UPPER(TEXT(D105,"DDD"))</f>
        <v>#NAME?</v>
      </c>
      <c r="E102" s="34" t="e">
        <f t="shared" ca="1" si="6"/>
        <v>#NAME?</v>
      </c>
      <c r="F102" s="34" t="e">
        <f t="shared" ca="1" si="6"/>
        <v>#NAME?</v>
      </c>
      <c r="G102" s="34" t="e">
        <f t="shared" ca="1" si="6"/>
        <v>#NAME?</v>
      </c>
      <c r="H102" s="34" t="e">
        <f t="shared" ca="1" si="6"/>
        <v>#NAME?</v>
      </c>
      <c r="I102" s="34" t="e">
        <f t="shared" ca="1" si="6"/>
        <v>#NAME?</v>
      </c>
    </row>
    <row r="103" spans="3:9" ht="28.5" customHeight="1" x14ac:dyDescent="0.55000000000000004">
      <c r="C103" s="38" t="e" cm="1">
        <f t="array" aca="1" ref="C103:I114" ca="1">_xlfn.ANCHORARRAY(Calc!AS109)</f>
        <v>#NAME?</v>
      </c>
      <c r="D103" s="38" t="e">
        <f ca="1"/>
        <v>#NAME?</v>
      </c>
      <c r="E103" s="38" t="e">
        <f ca="1"/>
        <v>#NAME?</v>
      </c>
      <c r="F103" s="38" t="e">
        <f ca="1"/>
        <v>#NAME?</v>
      </c>
      <c r="G103" s="38" t="e">
        <f ca="1"/>
        <v>#NAME?</v>
      </c>
      <c r="H103" s="38" t="e">
        <f ca="1"/>
        <v>#NAME?</v>
      </c>
      <c r="I103" s="39" t="e">
        <f ca="1"/>
        <v>#NAME?</v>
      </c>
    </row>
    <row r="104" spans="3:9" ht="54" customHeight="1" thickBot="1" x14ac:dyDescent="0.6">
      <c r="C104" s="40" t="e">
        <f ca="1"/>
        <v>#NAME?</v>
      </c>
      <c r="D104" s="40" t="e">
        <f ca="1"/>
        <v>#NAME?</v>
      </c>
      <c r="E104" s="40" t="e">
        <f ca="1"/>
        <v>#NAME?</v>
      </c>
      <c r="F104" s="40" t="e">
        <f ca="1"/>
        <v>#NAME?</v>
      </c>
      <c r="G104" s="40" t="e">
        <f ca="1"/>
        <v>#NAME?</v>
      </c>
      <c r="H104" s="40" t="e">
        <f ca="1"/>
        <v>#NAME?</v>
      </c>
      <c r="I104" s="41" t="e">
        <f ca="1"/>
        <v>#NAME?</v>
      </c>
    </row>
    <row r="105" spans="3:9" ht="28.5" customHeight="1" x14ac:dyDescent="0.55000000000000004">
      <c r="C105" s="38" t="e">
        <f ca="1"/>
        <v>#NAME?</v>
      </c>
      <c r="D105" s="38" t="e">
        <f ca="1"/>
        <v>#NAME?</v>
      </c>
      <c r="E105" s="38" t="e">
        <f ca="1"/>
        <v>#NAME?</v>
      </c>
      <c r="F105" s="38" t="e">
        <f ca="1"/>
        <v>#NAME?</v>
      </c>
      <c r="G105" s="38" t="e">
        <f ca="1"/>
        <v>#NAME?</v>
      </c>
      <c r="H105" s="38" t="e">
        <f ca="1"/>
        <v>#NAME?</v>
      </c>
      <c r="I105" s="39" t="e">
        <f ca="1"/>
        <v>#NAME?</v>
      </c>
    </row>
    <row r="106" spans="3:9" ht="54" customHeight="1" thickBot="1" x14ac:dyDescent="0.6">
      <c r="C106" s="40" t="e">
        <f ca="1"/>
        <v>#NAME?</v>
      </c>
      <c r="D106" s="40" t="e">
        <f ca="1"/>
        <v>#NAME?</v>
      </c>
      <c r="E106" s="40" t="e">
        <f ca="1"/>
        <v>#NAME?</v>
      </c>
      <c r="F106" s="40" t="e">
        <f ca="1"/>
        <v>#NAME?</v>
      </c>
      <c r="G106" s="40" t="e">
        <f ca="1"/>
        <v>#NAME?</v>
      </c>
      <c r="H106" s="40" t="e">
        <f ca="1"/>
        <v>#NAME?</v>
      </c>
      <c r="I106" s="41" t="e">
        <f ca="1"/>
        <v>#NAME?</v>
      </c>
    </row>
    <row r="107" spans="3:9" ht="28.5" customHeight="1" x14ac:dyDescent="0.55000000000000004">
      <c r="C107" s="38" t="e">
        <f ca="1"/>
        <v>#NAME?</v>
      </c>
      <c r="D107" s="38" t="e">
        <f ca="1"/>
        <v>#NAME?</v>
      </c>
      <c r="E107" s="38" t="e">
        <f ca="1"/>
        <v>#NAME?</v>
      </c>
      <c r="F107" s="38" t="e">
        <f ca="1"/>
        <v>#NAME?</v>
      </c>
      <c r="G107" s="38" t="e">
        <f ca="1"/>
        <v>#NAME?</v>
      </c>
      <c r="H107" s="38" t="e">
        <f ca="1"/>
        <v>#NAME?</v>
      </c>
      <c r="I107" s="39" t="e">
        <f ca="1"/>
        <v>#NAME?</v>
      </c>
    </row>
    <row r="108" spans="3:9" ht="54" customHeight="1" thickBot="1" x14ac:dyDescent="0.6">
      <c r="C108" s="40" t="e">
        <f ca="1"/>
        <v>#NAME?</v>
      </c>
      <c r="D108" s="40" t="e">
        <f ca="1"/>
        <v>#NAME?</v>
      </c>
      <c r="E108" s="40" t="e">
        <f ca="1"/>
        <v>#NAME?</v>
      </c>
      <c r="F108" s="40" t="e">
        <f ca="1"/>
        <v>#NAME?</v>
      </c>
      <c r="G108" s="40" t="e">
        <f ca="1"/>
        <v>#NAME?</v>
      </c>
      <c r="H108" s="40" t="e">
        <f ca="1"/>
        <v>#NAME?</v>
      </c>
      <c r="I108" s="41" t="e">
        <f ca="1"/>
        <v>#NAME?</v>
      </c>
    </row>
    <row r="109" spans="3:9" ht="28.5" customHeight="1" x14ac:dyDescent="0.55000000000000004">
      <c r="C109" s="38" t="e">
        <f ca="1"/>
        <v>#NAME?</v>
      </c>
      <c r="D109" s="38" t="e">
        <f ca="1"/>
        <v>#NAME?</v>
      </c>
      <c r="E109" s="38" t="e">
        <f ca="1"/>
        <v>#NAME?</v>
      </c>
      <c r="F109" s="38" t="e">
        <f ca="1"/>
        <v>#NAME?</v>
      </c>
      <c r="G109" s="38" t="e">
        <f ca="1"/>
        <v>#NAME?</v>
      </c>
      <c r="H109" s="38" t="e">
        <f ca="1"/>
        <v>#NAME?</v>
      </c>
      <c r="I109" s="39" t="e">
        <f ca="1"/>
        <v>#NAME?</v>
      </c>
    </row>
    <row r="110" spans="3:9" ht="54" customHeight="1" thickBot="1" x14ac:dyDescent="0.6">
      <c r="C110" s="40" t="e">
        <f ca="1"/>
        <v>#NAME?</v>
      </c>
      <c r="D110" s="40" t="e">
        <f ca="1"/>
        <v>#NAME?</v>
      </c>
      <c r="E110" s="40" t="e">
        <f ca="1"/>
        <v>#NAME?</v>
      </c>
      <c r="F110" s="40" t="e">
        <f ca="1"/>
        <v>#NAME?</v>
      </c>
      <c r="G110" s="40" t="e">
        <f ca="1"/>
        <v>#NAME?</v>
      </c>
      <c r="H110" s="40" t="e">
        <f ca="1"/>
        <v>#NAME?</v>
      </c>
      <c r="I110" s="41" t="e">
        <f ca="1"/>
        <v>#NAME?</v>
      </c>
    </row>
    <row r="111" spans="3:9" ht="28.5" customHeight="1" x14ac:dyDescent="0.55000000000000004">
      <c r="C111" s="38" t="e">
        <f ca="1"/>
        <v>#NAME?</v>
      </c>
      <c r="D111" s="38" t="e">
        <f ca="1"/>
        <v>#NAME?</v>
      </c>
      <c r="E111" s="38" t="e">
        <f ca="1"/>
        <v>#NAME?</v>
      </c>
      <c r="F111" s="38" t="e">
        <f ca="1"/>
        <v>#NAME?</v>
      </c>
      <c r="G111" s="38" t="e">
        <f ca="1"/>
        <v>#NAME?</v>
      </c>
      <c r="H111" s="38" t="e">
        <f ca="1"/>
        <v>#NAME?</v>
      </c>
      <c r="I111" s="39" t="e">
        <f ca="1"/>
        <v>#NAME?</v>
      </c>
    </row>
    <row r="112" spans="3:9" ht="54" customHeight="1" thickBot="1" x14ac:dyDescent="0.6">
      <c r="C112" s="40" t="e">
        <f ca="1"/>
        <v>#NAME?</v>
      </c>
      <c r="D112" s="40" t="e">
        <f ca="1"/>
        <v>#NAME?</v>
      </c>
      <c r="E112" s="40" t="e">
        <f ca="1"/>
        <v>#NAME?</v>
      </c>
      <c r="F112" s="40" t="e">
        <f ca="1"/>
        <v>#NAME?</v>
      </c>
      <c r="G112" s="40" t="e">
        <f ca="1"/>
        <v>#NAME?</v>
      </c>
      <c r="H112" s="40" t="e">
        <f ca="1"/>
        <v>#NAME?</v>
      </c>
      <c r="I112" s="41" t="e">
        <f ca="1"/>
        <v>#NAME?</v>
      </c>
    </row>
    <row r="113" spans="3:9" ht="28.5" customHeight="1" x14ac:dyDescent="0.55000000000000004">
      <c r="C113" s="38" t="e">
        <f ca="1"/>
        <v>#NAME?</v>
      </c>
      <c r="D113" s="38" t="e">
        <f ca="1"/>
        <v>#NAME?</v>
      </c>
      <c r="E113" s="38" t="e">
        <f ca="1"/>
        <v>#NAME?</v>
      </c>
      <c r="F113" s="38" t="e">
        <f ca="1"/>
        <v>#NAME?</v>
      </c>
      <c r="G113" s="38" t="e">
        <f ca="1"/>
        <v>#NAME?</v>
      </c>
      <c r="H113" s="38" t="e">
        <f ca="1"/>
        <v>#NAME?</v>
      </c>
      <c r="I113" s="39" t="e">
        <f ca="1"/>
        <v>#NAME?</v>
      </c>
    </row>
    <row r="114" spans="3:9" ht="54" customHeight="1" thickBot="1" x14ac:dyDescent="0.6">
      <c r="C114" s="40" t="e">
        <f ca="1"/>
        <v>#NAME?</v>
      </c>
      <c r="D114" s="40" t="e">
        <f ca="1"/>
        <v>#NAME?</v>
      </c>
      <c r="E114" s="40" t="e">
        <f ca="1"/>
        <v>#NAME?</v>
      </c>
      <c r="F114" s="40" t="e">
        <f ca="1"/>
        <v>#NAME?</v>
      </c>
      <c r="G114" s="40" t="e">
        <f ca="1"/>
        <v>#NAME?</v>
      </c>
      <c r="H114" s="40" t="e">
        <f ca="1"/>
        <v>#NAME?</v>
      </c>
      <c r="I114" s="41" t="e">
        <f ca="1"/>
        <v>#NAME?</v>
      </c>
    </row>
    <row r="115" spans="3:9" ht="15.75" customHeight="1" x14ac:dyDescent="0.55000000000000004"/>
    <row r="116" spans="3:9" ht="14.7" thickBot="1" x14ac:dyDescent="0.6"/>
    <row r="117" spans="3:9" ht="39" customHeight="1" x14ac:dyDescent="0.55000000000000004">
      <c r="C117" s="56" t="e">
        <f ca="1">TEXT(C121,"MMMM YYYY")</f>
        <v>#NAME?</v>
      </c>
      <c r="D117" s="57"/>
      <c r="E117" s="57"/>
      <c r="F117" s="57"/>
      <c r="G117" s="57"/>
      <c r="H117" s="57"/>
      <c r="I117" s="58"/>
    </row>
    <row r="118" spans="3:9" ht="28.5" customHeight="1" thickBot="1" x14ac:dyDescent="0.6">
      <c r="C118" s="34" t="e">
        <f ca="1">UPPER(TEXT(C121,"DDD"))</f>
        <v>#NAME?</v>
      </c>
      <c r="D118" s="34" t="e">
        <f t="shared" ref="D118:I118" ca="1" si="7">UPPER(TEXT(D121,"DDD"))</f>
        <v>#NAME?</v>
      </c>
      <c r="E118" s="34" t="e">
        <f t="shared" ca="1" si="7"/>
        <v>#NAME?</v>
      </c>
      <c r="F118" s="34" t="e">
        <f t="shared" ca="1" si="7"/>
        <v>#NAME?</v>
      </c>
      <c r="G118" s="34" t="e">
        <f t="shared" ca="1" si="7"/>
        <v>#NAME?</v>
      </c>
      <c r="H118" s="34" t="e">
        <f t="shared" ca="1" si="7"/>
        <v>#NAME?</v>
      </c>
      <c r="I118" s="34" t="e">
        <f t="shared" ca="1" si="7"/>
        <v>#NAME?</v>
      </c>
    </row>
    <row r="119" spans="3:9" ht="28.5" customHeight="1" x14ac:dyDescent="0.55000000000000004">
      <c r="C119" s="38" t="e" cm="1">
        <f t="array" aca="1" ref="C119:I130" ca="1">_xlfn.ANCHORARRAY(Calc!AS125)</f>
        <v>#NAME?</v>
      </c>
      <c r="D119" s="38" t="e">
        <f ca="1"/>
        <v>#NAME?</v>
      </c>
      <c r="E119" s="38" t="e">
        <f ca="1"/>
        <v>#NAME?</v>
      </c>
      <c r="F119" s="38" t="e">
        <f ca="1"/>
        <v>#NAME?</v>
      </c>
      <c r="G119" s="38" t="e">
        <f ca="1"/>
        <v>#NAME?</v>
      </c>
      <c r="H119" s="38" t="e">
        <f ca="1"/>
        <v>#NAME?</v>
      </c>
      <c r="I119" s="39" t="e">
        <f ca="1"/>
        <v>#NAME?</v>
      </c>
    </row>
    <row r="120" spans="3:9" ht="54" customHeight="1" thickBot="1" x14ac:dyDescent="0.6">
      <c r="C120" s="40" t="e">
        <f ca="1"/>
        <v>#NAME?</v>
      </c>
      <c r="D120" s="40" t="e">
        <f ca="1"/>
        <v>#NAME?</v>
      </c>
      <c r="E120" s="40" t="e">
        <f ca="1"/>
        <v>#NAME?</v>
      </c>
      <c r="F120" s="40" t="e">
        <f ca="1"/>
        <v>#NAME?</v>
      </c>
      <c r="G120" s="40" t="e">
        <f ca="1"/>
        <v>#NAME?</v>
      </c>
      <c r="H120" s="40" t="e">
        <f ca="1"/>
        <v>#NAME?</v>
      </c>
      <c r="I120" s="41" t="e">
        <f ca="1"/>
        <v>#NAME?</v>
      </c>
    </row>
    <row r="121" spans="3:9" ht="28.5" customHeight="1" x14ac:dyDescent="0.55000000000000004">
      <c r="C121" s="38" t="e">
        <f ca="1"/>
        <v>#NAME?</v>
      </c>
      <c r="D121" s="38" t="e">
        <f ca="1"/>
        <v>#NAME?</v>
      </c>
      <c r="E121" s="38" t="e">
        <f ca="1"/>
        <v>#NAME?</v>
      </c>
      <c r="F121" s="38" t="e">
        <f ca="1"/>
        <v>#NAME?</v>
      </c>
      <c r="G121" s="38" t="e">
        <f ca="1"/>
        <v>#NAME?</v>
      </c>
      <c r="H121" s="38" t="e">
        <f ca="1"/>
        <v>#NAME?</v>
      </c>
      <c r="I121" s="39" t="e">
        <f ca="1"/>
        <v>#NAME?</v>
      </c>
    </row>
    <row r="122" spans="3:9" ht="54" customHeight="1" thickBot="1" x14ac:dyDescent="0.6">
      <c r="C122" s="40" t="e">
        <f ca="1"/>
        <v>#NAME?</v>
      </c>
      <c r="D122" s="40" t="e">
        <f ca="1"/>
        <v>#NAME?</v>
      </c>
      <c r="E122" s="40" t="e">
        <f ca="1"/>
        <v>#NAME?</v>
      </c>
      <c r="F122" s="40" t="e">
        <f ca="1"/>
        <v>#NAME?</v>
      </c>
      <c r="G122" s="40" t="e">
        <f ca="1"/>
        <v>#NAME?</v>
      </c>
      <c r="H122" s="40" t="e">
        <f ca="1"/>
        <v>#NAME?</v>
      </c>
      <c r="I122" s="41" t="e">
        <f ca="1"/>
        <v>#NAME?</v>
      </c>
    </row>
    <row r="123" spans="3:9" ht="28.5" customHeight="1" x14ac:dyDescent="0.55000000000000004">
      <c r="C123" s="38" t="e">
        <f ca="1"/>
        <v>#NAME?</v>
      </c>
      <c r="D123" s="38" t="e">
        <f ca="1"/>
        <v>#NAME?</v>
      </c>
      <c r="E123" s="38" t="e">
        <f ca="1"/>
        <v>#NAME?</v>
      </c>
      <c r="F123" s="38" t="e">
        <f ca="1"/>
        <v>#NAME?</v>
      </c>
      <c r="G123" s="38" t="e">
        <f ca="1"/>
        <v>#NAME?</v>
      </c>
      <c r="H123" s="38" t="e">
        <f ca="1"/>
        <v>#NAME?</v>
      </c>
      <c r="I123" s="39" t="e">
        <f ca="1"/>
        <v>#NAME?</v>
      </c>
    </row>
    <row r="124" spans="3:9" ht="54" customHeight="1" thickBot="1" x14ac:dyDescent="0.6">
      <c r="C124" s="40" t="e">
        <f ca="1"/>
        <v>#NAME?</v>
      </c>
      <c r="D124" s="40" t="e">
        <f ca="1"/>
        <v>#NAME?</v>
      </c>
      <c r="E124" s="40" t="e">
        <f ca="1"/>
        <v>#NAME?</v>
      </c>
      <c r="F124" s="40" t="e">
        <f ca="1"/>
        <v>#NAME?</v>
      </c>
      <c r="G124" s="40" t="e">
        <f ca="1"/>
        <v>#NAME?</v>
      </c>
      <c r="H124" s="40" t="e">
        <f ca="1"/>
        <v>#NAME?</v>
      </c>
      <c r="I124" s="41" t="e">
        <f ca="1"/>
        <v>#NAME?</v>
      </c>
    </row>
    <row r="125" spans="3:9" ht="28.5" customHeight="1" x14ac:dyDescent="0.55000000000000004">
      <c r="C125" s="38" t="e">
        <f ca="1"/>
        <v>#NAME?</v>
      </c>
      <c r="D125" s="38" t="e">
        <f ca="1"/>
        <v>#NAME?</v>
      </c>
      <c r="E125" s="38" t="e">
        <f ca="1"/>
        <v>#NAME?</v>
      </c>
      <c r="F125" s="38" t="e">
        <f ca="1"/>
        <v>#NAME?</v>
      </c>
      <c r="G125" s="38" t="e">
        <f ca="1"/>
        <v>#NAME?</v>
      </c>
      <c r="H125" s="38" t="e">
        <f ca="1"/>
        <v>#NAME?</v>
      </c>
      <c r="I125" s="39" t="e">
        <f ca="1"/>
        <v>#NAME?</v>
      </c>
    </row>
    <row r="126" spans="3:9" ht="54" customHeight="1" thickBot="1" x14ac:dyDescent="0.6">
      <c r="C126" s="40" t="e">
        <f ca="1"/>
        <v>#NAME?</v>
      </c>
      <c r="D126" s="40" t="e">
        <f ca="1"/>
        <v>#NAME?</v>
      </c>
      <c r="E126" s="40" t="e">
        <f ca="1"/>
        <v>#NAME?</v>
      </c>
      <c r="F126" s="40" t="e">
        <f ca="1"/>
        <v>#NAME?</v>
      </c>
      <c r="G126" s="40" t="e">
        <f ca="1"/>
        <v>#NAME?</v>
      </c>
      <c r="H126" s="40" t="e">
        <f ca="1"/>
        <v>#NAME?</v>
      </c>
      <c r="I126" s="41" t="e">
        <f ca="1"/>
        <v>#NAME?</v>
      </c>
    </row>
    <row r="127" spans="3:9" ht="28.5" customHeight="1" x14ac:dyDescent="0.55000000000000004">
      <c r="C127" s="38" t="e">
        <f ca="1"/>
        <v>#NAME?</v>
      </c>
      <c r="D127" s="38" t="e">
        <f ca="1"/>
        <v>#NAME?</v>
      </c>
      <c r="E127" s="38" t="e">
        <f ca="1"/>
        <v>#NAME?</v>
      </c>
      <c r="F127" s="38" t="e">
        <f ca="1"/>
        <v>#NAME?</v>
      </c>
      <c r="G127" s="38" t="e">
        <f ca="1"/>
        <v>#NAME?</v>
      </c>
      <c r="H127" s="38" t="e">
        <f ca="1"/>
        <v>#NAME?</v>
      </c>
      <c r="I127" s="39" t="e">
        <f ca="1"/>
        <v>#NAME?</v>
      </c>
    </row>
    <row r="128" spans="3:9" ht="54" customHeight="1" thickBot="1" x14ac:dyDescent="0.6">
      <c r="C128" s="40" t="e">
        <f ca="1"/>
        <v>#NAME?</v>
      </c>
      <c r="D128" s="40" t="e">
        <f ca="1"/>
        <v>#NAME?</v>
      </c>
      <c r="E128" s="40" t="e">
        <f ca="1"/>
        <v>#NAME?</v>
      </c>
      <c r="F128" s="40" t="e">
        <f ca="1"/>
        <v>#NAME?</v>
      </c>
      <c r="G128" s="40" t="e">
        <f ca="1"/>
        <v>#NAME?</v>
      </c>
      <c r="H128" s="40" t="e">
        <f ca="1"/>
        <v>#NAME?</v>
      </c>
      <c r="I128" s="41" t="e">
        <f ca="1"/>
        <v>#NAME?</v>
      </c>
    </row>
    <row r="129" spans="3:9" ht="28.5" customHeight="1" x14ac:dyDescent="0.55000000000000004">
      <c r="C129" s="38" t="e">
        <f ca="1"/>
        <v>#NAME?</v>
      </c>
      <c r="D129" s="38" t="e">
        <f ca="1"/>
        <v>#NAME?</v>
      </c>
      <c r="E129" s="38" t="e">
        <f ca="1"/>
        <v>#NAME?</v>
      </c>
      <c r="F129" s="38" t="e">
        <f ca="1"/>
        <v>#NAME?</v>
      </c>
      <c r="G129" s="38" t="e">
        <f ca="1"/>
        <v>#NAME?</v>
      </c>
      <c r="H129" s="38" t="e">
        <f ca="1"/>
        <v>#NAME?</v>
      </c>
      <c r="I129" s="39" t="e">
        <f ca="1"/>
        <v>#NAME?</v>
      </c>
    </row>
    <row r="130" spans="3:9" ht="54" customHeight="1" thickBot="1" x14ac:dyDescent="0.6">
      <c r="C130" s="40" t="e">
        <f ca="1"/>
        <v>#NAME?</v>
      </c>
      <c r="D130" s="40" t="e">
        <f ca="1"/>
        <v>#NAME?</v>
      </c>
      <c r="E130" s="40" t="e">
        <f ca="1"/>
        <v>#NAME?</v>
      </c>
      <c r="F130" s="40" t="e">
        <f ca="1"/>
        <v>#NAME?</v>
      </c>
      <c r="G130" s="40" t="e">
        <f ca="1"/>
        <v>#NAME?</v>
      </c>
      <c r="H130" s="40" t="e">
        <f ca="1"/>
        <v>#NAME?</v>
      </c>
      <c r="I130" s="41" t="e">
        <f ca="1"/>
        <v>#NAME?</v>
      </c>
    </row>
    <row r="131" spans="3:9" ht="15.75" customHeight="1" x14ac:dyDescent="0.55000000000000004"/>
    <row r="132" spans="3:9" ht="14.7" thickBot="1" x14ac:dyDescent="0.6"/>
    <row r="133" spans="3:9" ht="39" customHeight="1" x14ac:dyDescent="0.55000000000000004">
      <c r="C133" s="56" t="e">
        <f ca="1">TEXT(C137,"MMMM YYYY")</f>
        <v>#NAME?</v>
      </c>
      <c r="D133" s="57"/>
      <c r="E133" s="57"/>
      <c r="F133" s="57"/>
      <c r="G133" s="57"/>
      <c r="H133" s="57"/>
      <c r="I133" s="58"/>
    </row>
    <row r="134" spans="3:9" ht="28.5" customHeight="1" thickBot="1" x14ac:dyDescent="0.6">
      <c r="C134" s="34" t="e">
        <f ca="1">UPPER(TEXT(C137,"DDD"))</f>
        <v>#NAME?</v>
      </c>
      <c r="D134" s="34" t="e">
        <f t="shared" ref="D134:I134" ca="1" si="8">UPPER(TEXT(D137,"DDD"))</f>
        <v>#NAME?</v>
      </c>
      <c r="E134" s="34" t="e">
        <f t="shared" ca="1" si="8"/>
        <v>#NAME?</v>
      </c>
      <c r="F134" s="34" t="e">
        <f t="shared" ca="1" si="8"/>
        <v>#NAME?</v>
      </c>
      <c r="G134" s="34" t="e">
        <f t="shared" ca="1" si="8"/>
        <v>#NAME?</v>
      </c>
      <c r="H134" s="34" t="e">
        <f t="shared" ca="1" si="8"/>
        <v>#NAME?</v>
      </c>
      <c r="I134" s="34" t="e">
        <f t="shared" ca="1" si="8"/>
        <v>#NAME?</v>
      </c>
    </row>
    <row r="135" spans="3:9" ht="28.5" customHeight="1" x14ac:dyDescent="0.55000000000000004">
      <c r="C135" s="38" t="e" cm="1">
        <f t="array" aca="1" ref="C135:I146" ca="1">_xlfn.ANCHORARRAY(Calc!AS141)</f>
        <v>#NAME?</v>
      </c>
      <c r="D135" s="38" t="e">
        <f ca="1"/>
        <v>#NAME?</v>
      </c>
      <c r="E135" s="38" t="e">
        <f ca="1"/>
        <v>#NAME?</v>
      </c>
      <c r="F135" s="38" t="e">
        <f ca="1"/>
        <v>#NAME?</v>
      </c>
      <c r="G135" s="38" t="e">
        <f ca="1"/>
        <v>#NAME?</v>
      </c>
      <c r="H135" s="38" t="e">
        <f ca="1"/>
        <v>#NAME?</v>
      </c>
      <c r="I135" s="39" t="e">
        <f ca="1"/>
        <v>#NAME?</v>
      </c>
    </row>
    <row r="136" spans="3:9" ht="54" customHeight="1" thickBot="1" x14ac:dyDescent="0.6">
      <c r="C136" s="40" t="e">
        <f ca="1"/>
        <v>#NAME?</v>
      </c>
      <c r="D136" s="40" t="e">
        <f ca="1"/>
        <v>#NAME?</v>
      </c>
      <c r="E136" s="40" t="e">
        <f ca="1"/>
        <v>#NAME?</v>
      </c>
      <c r="F136" s="40" t="e">
        <f ca="1"/>
        <v>#NAME?</v>
      </c>
      <c r="G136" s="40" t="e">
        <f ca="1"/>
        <v>#NAME?</v>
      </c>
      <c r="H136" s="40" t="e">
        <f ca="1"/>
        <v>#NAME?</v>
      </c>
      <c r="I136" s="41" t="e">
        <f ca="1"/>
        <v>#NAME?</v>
      </c>
    </row>
    <row r="137" spans="3:9" ht="28.5" customHeight="1" x14ac:dyDescent="0.55000000000000004">
      <c r="C137" s="38" t="e">
        <f ca="1"/>
        <v>#NAME?</v>
      </c>
      <c r="D137" s="38" t="e">
        <f ca="1"/>
        <v>#NAME?</v>
      </c>
      <c r="E137" s="38" t="e">
        <f ca="1"/>
        <v>#NAME?</v>
      </c>
      <c r="F137" s="38" t="e">
        <f ca="1"/>
        <v>#NAME?</v>
      </c>
      <c r="G137" s="38" t="e">
        <f ca="1"/>
        <v>#NAME?</v>
      </c>
      <c r="H137" s="38" t="e">
        <f ca="1"/>
        <v>#NAME?</v>
      </c>
      <c r="I137" s="39" t="e">
        <f ca="1"/>
        <v>#NAME?</v>
      </c>
    </row>
    <row r="138" spans="3:9" ht="54" customHeight="1" thickBot="1" x14ac:dyDescent="0.6">
      <c r="C138" s="40" t="e">
        <f ca="1"/>
        <v>#NAME?</v>
      </c>
      <c r="D138" s="40" t="e">
        <f ca="1"/>
        <v>#NAME?</v>
      </c>
      <c r="E138" s="40" t="e">
        <f ca="1"/>
        <v>#NAME?</v>
      </c>
      <c r="F138" s="40" t="e">
        <f ca="1"/>
        <v>#NAME?</v>
      </c>
      <c r="G138" s="40" t="e">
        <f ca="1"/>
        <v>#NAME?</v>
      </c>
      <c r="H138" s="40" t="e">
        <f ca="1"/>
        <v>#NAME?</v>
      </c>
      <c r="I138" s="41" t="e">
        <f ca="1"/>
        <v>#NAME?</v>
      </c>
    </row>
    <row r="139" spans="3:9" ht="28.5" customHeight="1" x14ac:dyDescent="0.55000000000000004">
      <c r="C139" s="38" t="e">
        <f ca="1"/>
        <v>#NAME?</v>
      </c>
      <c r="D139" s="38" t="e">
        <f ca="1"/>
        <v>#NAME?</v>
      </c>
      <c r="E139" s="38" t="e">
        <f ca="1"/>
        <v>#NAME?</v>
      </c>
      <c r="F139" s="38" t="e">
        <f ca="1"/>
        <v>#NAME?</v>
      </c>
      <c r="G139" s="38" t="e">
        <f ca="1"/>
        <v>#NAME?</v>
      </c>
      <c r="H139" s="38" t="e">
        <f ca="1"/>
        <v>#NAME?</v>
      </c>
      <c r="I139" s="39" t="e">
        <f ca="1"/>
        <v>#NAME?</v>
      </c>
    </row>
    <row r="140" spans="3:9" ht="54" customHeight="1" thickBot="1" x14ac:dyDescent="0.6">
      <c r="C140" s="40" t="e">
        <f ca="1"/>
        <v>#NAME?</v>
      </c>
      <c r="D140" s="40" t="e">
        <f ca="1"/>
        <v>#NAME?</v>
      </c>
      <c r="E140" s="40" t="e">
        <f ca="1"/>
        <v>#NAME?</v>
      </c>
      <c r="F140" s="40" t="e">
        <f ca="1"/>
        <v>#NAME?</v>
      </c>
      <c r="G140" s="40" t="e">
        <f ca="1"/>
        <v>#NAME?</v>
      </c>
      <c r="H140" s="40" t="e">
        <f ca="1"/>
        <v>#NAME?</v>
      </c>
      <c r="I140" s="41" t="e">
        <f ca="1"/>
        <v>#NAME?</v>
      </c>
    </row>
    <row r="141" spans="3:9" ht="28.5" customHeight="1" x14ac:dyDescent="0.55000000000000004">
      <c r="C141" s="38" t="e">
        <f ca="1"/>
        <v>#NAME?</v>
      </c>
      <c r="D141" s="38" t="e">
        <f ca="1"/>
        <v>#NAME?</v>
      </c>
      <c r="E141" s="38" t="e">
        <f ca="1"/>
        <v>#NAME?</v>
      </c>
      <c r="F141" s="38" t="e">
        <f ca="1"/>
        <v>#NAME?</v>
      </c>
      <c r="G141" s="38" t="e">
        <f ca="1"/>
        <v>#NAME?</v>
      </c>
      <c r="H141" s="38" t="e">
        <f ca="1"/>
        <v>#NAME?</v>
      </c>
      <c r="I141" s="39" t="e">
        <f ca="1"/>
        <v>#NAME?</v>
      </c>
    </row>
    <row r="142" spans="3:9" ht="54" customHeight="1" thickBot="1" x14ac:dyDescent="0.6">
      <c r="C142" s="40" t="e">
        <f ca="1"/>
        <v>#NAME?</v>
      </c>
      <c r="D142" s="40" t="e">
        <f ca="1"/>
        <v>#NAME?</v>
      </c>
      <c r="E142" s="40" t="e">
        <f ca="1"/>
        <v>#NAME?</v>
      </c>
      <c r="F142" s="40" t="e">
        <f ca="1"/>
        <v>#NAME?</v>
      </c>
      <c r="G142" s="40" t="e">
        <f ca="1"/>
        <v>#NAME?</v>
      </c>
      <c r="H142" s="40" t="e">
        <f ca="1"/>
        <v>#NAME?</v>
      </c>
      <c r="I142" s="41" t="e">
        <f ca="1"/>
        <v>#NAME?</v>
      </c>
    </row>
    <row r="143" spans="3:9" ht="28.5" customHeight="1" x14ac:dyDescent="0.55000000000000004">
      <c r="C143" s="38" t="e">
        <f ca="1"/>
        <v>#NAME?</v>
      </c>
      <c r="D143" s="38" t="e">
        <f ca="1"/>
        <v>#NAME?</v>
      </c>
      <c r="E143" s="38" t="e">
        <f ca="1"/>
        <v>#NAME?</v>
      </c>
      <c r="F143" s="38" t="e">
        <f ca="1"/>
        <v>#NAME?</v>
      </c>
      <c r="G143" s="38" t="e">
        <f ca="1"/>
        <v>#NAME?</v>
      </c>
      <c r="H143" s="38" t="e">
        <f ca="1"/>
        <v>#NAME?</v>
      </c>
      <c r="I143" s="39" t="e">
        <f ca="1"/>
        <v>#NAME?</v>
      </c>
    </row>
    <row r="144" spans="3:9" ht="54" customHeight="1" thickBot="1" x14ac:dyDescent="0.6">
      <c r="C144" s="40" t="e">
        <f ca="1"/>
        <v>#NAME?</v>
      </c>
      <c r="D144" s="40" t="e">
        <f ca="1"/>
        <v>#NAME?</v>
      </c>
      <c r="E144" s="40" t="e">
        <f ca="1"/>
        <v>#NAME?</v>
      </c>
      <c r="F144" s="40" t="e">
        <f ca="1"/>
        <v>#NAME?</v>
      </c>
      <c r="G144" s="40" t="e">
        <f ca="1"/>
        <v>#NAME?</v>
      </c>
      <c r="H144" s="40" t="e">
        <f ca="1"/>
        <v>#NAME?</v>
      </c>
      <c r="I144" s="41" t="e">
        <f ca="1"/>
        <v>#NAME?</v>
      </c>
    </row>
    <row r="145" spans="3:9" ht="28.5" customHeight="1" x14ac:dyDescent="0.55000000000000004">
      <c r="C145" s="38" t="e">
        <f ca="1"/>
        <v>#NAME?</v>
      </c>
      <c r="D145" s="38" t="e">
        <f ca="1"/>
        <v>#NAME?</v>
      </c>
      <c r="E145" s="38" t="e">
        <f ca="1"/>
        <v>#NAME?</v>
      </c>
      <c r="F145" s="38" t="e">
        <f ca="1"/>
        <v>#NAME?</v>
      </c>
      <c r="G145" s="38" t="e">
        <f ca="1"/>
        <v>#NAME?</v>
      </c>
      <c r="H145" s="38" t="e">
        <f ca="1"/>
        <v>#NAME?</v>
      </c>
      <c r="I145" s="39" t="e">
        <f ca="1"/>
        <v>#NAME?</v>
      </c>
    </row>
    <row r="146" spans="3:9" ht="54" customHeight="1" thickBot="1" x14ac:dyDescent="0.6">
      <c r="C146" s="40" t="e">
        <f ca="1"/>
        <v>#NAME?</v>
      </c>
      <c r="D146" s="40" t="e">
        <f ca="1"/>
        <v>#NAME?</v>
      </c>
      <c r="E146" s="40" t="e">
        <f ca="1"/>
        <v>#NAME?</v>
      </c>
      <c r="F146" s="40" t="e">
        <f ca="1"/>
        <v>#NAME?</v>
      </c>
      <c r="G146" s="40" t="e">
        <f ca="1"/>
        <v>#NAME?</v>
      </c>
      <c r="H146" s="40" t="e">
        <f ca="1"/>
        <v>#NAME?</v>
      </c>
      <c r="I146" s="41" t="e">
        <f ca="1"/>
        <v>#NAME?</v>
      </c>
    </row>
    <row r="147" spans="3:9" ht="15.75" customHeight="1" x14ac:dyDescent="0.55000000000000004"/>
    <row r="148" spans="3:9" ht="14.7" thickBot="1" x14ac:dyDescent="0.6"/>
    <row r="149" spans="3:9" ht="39" customHeight="1" x14ac:dyDescent="0.55000000000000004">
      <c r="C149" s="56" t="e">
        <f ca="1">TEXT(C153,"MMMM YYYY")</f>
        <v>#NAME?</v>
      </c>
      <c r="D149" s="57"/>
      <c r="E149" s="57"/>
      <c r="F149" s="57"/>
      <c r="G149" s="57"/>
      <c r="H149" s="57"/>
      <c r="I149" s="58"/>
    </row>
    <row r="150" spans="3:9" ht="28.5" customHeight="1" thickBot="1" x14ac:dyDescent="0.6">
      <c r="C150" s="34" t="e">
        <f ca="1">UPPER(TEXT(C153,"DDD"))</f>
        <v>#NAME?</v>
      </c>
      <c r="D150" s="34" t="e">
        <f t="shared" ref="D150:I150" ca="1" si="9">UPPER(TEXT(D153,"DDD"))</f>
        <v>#NAME?</v>
      </c>
      <c r="E150" s="34" t="e">
        <f t="shared" ca="1" si="9"/>
        <v>#NAME?</v>
      </c>
      <c r="F150" s="34" t="e">
        <f t="shared" ca="1" si="9"/>
        <v>#NAME?</v>
      </c>
      <c r="G150" s="34" t="e">
        <f t="shared" ca="1" si="9"/>
        <v>#NAME?</v>
      </c>
      <c r="H150" s="34" t="e">
        <f t="shared" ca="1" si="9"/>
        <v>#NAME?</v>
      </c>
      <c r="I150" s="34" t="e">
        <f t="shared" ca="1" si="9"/>
        <v>#NAME?</v>
      </c>
    </row>
    <row r="151" spans="3:9" ht="28.5" customHeight="1" x14ac:dyDescent="0.55000000000000004">
      <c r="C151" s="38" t="e" cm="1">
        <f t="array" aca="1" ref="C151:I162" ca="1">_xlfn.ANCHORARRAY(Calc!AS157)</f>
        <v>#NAME?</v>
      </c>
      <c r="D151" s="38" t="e">
        <f ca="1"/>
        <v>#NAME?</v>
      </c>
      <c r="E151" s="38" t="e">
        <f ca="1"/>
        <v>#NAME?</v>
      </c>
      <c r="F151" s="38" t="e">
        <f ca="1"/>
        <v>#NAME?</v>
      </c>
      <c r="G151" s="38" t="e">
        <f ca="1"/>
        <v>#NAME?</v>
      </c>
      <c r="H151" s="38" t="e">
        <f ca="1"/>
        <v>#NAME?</v>
      </c>
      <c r="I151" s="39" t="e">
        <f ca="1"/>
        <v>#NAME?</v>
      </c>
    </row>
    <row r="152" spans="3:9" ht="54" customHeight="1" thickBot="1" x14ac:dyDescent="0.6">
      <c r="C152" s="40" t="e">
        <f ca="1"/>
        <v>#NAME?</v>
      </c>
      <c r="D152" s="40" t="e">
        <f ca="1"/>
        <v>#NAME?</v>
      </c>
      <c r="E152" s="40" t="e">
        <f ca="1"/>
        <v>#NAME?</v>
      </c>
      <c r="F152" s="40" t="e">
        <f ca="1"/>
        <v>#NAME?</v>
      </c>
      <c r="G152" s="40" t="e">
        <f ca="1"/>
        <v>#NAME?</v>
      </c>
      <c r="H152" s="40" t="e">
        <f ca="1"/>
        <v>#NAME?</v>
      </c>
      <c r="I152" s="41" t="e">
        <f ca="1"/>
        <v>#NAME?</v>
      </c>
    </row>
    <row r="153" spans="3:9" ht="28.5" customHeight="1" x14ac:dyDescent="0.55000000000000004">
      <c r="C153" s="38" t="e">
        <f ca="1"/>
        <v>#NAME?</v>
      </c>
      <c r="D153" s="38" t="e">
        <f ca="1"/>
        <v>#NAME?</v>
      </c>
      <c r="E153" s="38" t="e">
        <f ca="1"/>
        <v>#NAME?</v>
      </c>
      <c r="F153" s="38" t="e">
        <f ca="1"/>
        <v>#NAME?</v>
      </c>
      <c r="G153" s="38" t="e">
        <f ca="1"/>
        <v>#NAME?</v>
      </c>
      <c r="H153" s="38" t="e">
        <f ca="1"/>
        <v>#NAME?</v>
      </c>
      <c r="I153" s="39" t="e">
        <f ca="1"/>
        <v>#NAME?</v>
      </c>
    </row>
    <row r="154" spans="3:9" ht="54" customHeight="1" thickBot="1" x14ac:dyDescent="0.6">
      <c r="C154" s="40" t="e">
        <f ca="1"/>
        <v>#NAME?</v>
      </c>
      <c r="D154" s="40" t="e">
        <f ca="1"/>
        <v>#NAME?</v>
      </c>
      <c r="E154" s="40" t="e">
        <f ca="1"/>
        <v>#NAME?</v>
      </c>
      <c r="F154" s="40" t="e">
        <f ca="1"/>
        <v>#NAME?</v>
      </c>
      <c r="G154" s="40" t="e">
        <f ca="1"/>
        <v>#NAME?</v>
      </c>
      <c r="H154" s="40" t="e">
        <f ca="1"/>
        <v>#NAME?</v>
      </c>
      <c r="I154" s="41" t="e">
        <f ca="1"/>
        <v>#NAME?</v>
      </c>
    </row>
    <row r="155" spans="3:9" ht="28.5" customHeight="1" x14ac:dyDescent="0.55000000000000004">
      <c r="C155" s="38" t="e">
        <f ca="1"/>
        <v>#NAME?</v>
      </c>
      <c r="D155" s="38" t="e">
        <f ca="1"/>
        <v>#NAME?</v>
      </c>
      <c r="E155" s="38" t="e">
        <f ca="1"/>
        <v>#NAME?</v>
      </c>
      <c r="F155" s="38" t="e">
        <f ca="1"/>
        <v>#NAME?</v>
      </c>
      <c r="G155" s="38" t="e">
        <f ca="1"/>
        <v>#NAME?</v>
      </c>
      <c r="H155" s="38" t="e">
        <f ca="1"/>
        <v>#NAME?</v>
      </c>
      <c r="I155" s="39" t="e">
        <f ca="1"/>
        <v>#NAME?</v>
      </c>
    </row>
    <row r="156" spans="3:9" ht="54" customHeight="1" thickBot="1" x14ac:dyDescent="0.6">
      <c r="C156" s="40" t="e">
        <f ca="1"/>
        <v>#NAME?</v>
      </c>
      <c r="D156" s="40" t="e">
        <f ca="1"/>
        <v>#NAME?</v>
      </c>
      <c r="E156" s="40" t="e">
        <f ca="1"/>
        <v>#NAME?</v>
      </c>
      <c r="F156" s="40" t="e">
        <f ca="1"/>
        <v>#NAME?</v>
      </c>
      <c r="G156" s="40" t="e">
        <f ca="1"/>
        <v>#NAME?</v>
      </c>
      <c r="H156" s="40" t="e">
        <f ca="1"/>
        <v>#NAME?</v>
      </c>
      <c r="I156" s="41" t="e">
        <f ca="1"/>
        <v>#NAME?</v>
      </c>
    </row>
    <row r="157" spans="3:9" ht="28.5" customHeight="1" x14ac:dyDescent="0.55000000000000004">
      <c r="C157" s="38" t="e">
        <f ca="1"/>
        <v>#NAME?</v>
      </c>
      <c r="D157" s="38" t="e">
        <f ca="1"/>
        <v>#NAME?</v>
      </c>
      <c r="E157" s="38" t="e">
        <f ca="1"/>
        <v>#NAME?</v>
      </c>
      <c r="F157" s="38" t="e">
        <f ca="1"/>
        <v>#NAME?</v>
      </c>
      <c r="G157" s="38" t="e">
        <f ca="1"/>
        <v>#NAME?</v>
      </c>
      <c r="H157" s="38" t="e">
        <f ca="1"/>
        <v>#NAME?</v>
      </c>
      <c r="I157" s="39" t="e">
        <f ca="1"/>
        <v>#NAME?</v>
      </c>
    </row>
    <row r="158" spans="3:9" ht="54" customHeight="1" thickBot="1" x14ac:dyDescent="0.6">
      <c r="C158" s="40" t="e">
        <f ca="1"/>
        <v>#NAME?</v>
      </c>
      <c r="D158" s="40" t="e">
        <f ca="1"/>
        <v>#NAME?</v>
      </c>
      <c r="E158" s="40" t="e">
        <f ca="1"/>
        <v>#NAME?</v>
      </c>
      <c r="F158" s="40" t="e">
        <f ca="1"/>
        <v>#NAME?</v>
      </c>
      <c r="G158" s="40" t="e">
        <f ca="1"/>
        <v>#NAME?</v>
      </c>
      <c r="H158" s="40" t="e">
        <f ca="1"/>
        <v>#NAME?</v>
      </c>
      <c r="I158" s="41" t="e">
        <f ca="1"/>
        <v>#NAME?</v>
      </c>
    </row>
    <row r="159" spans="3:9" ht="28.5" customHeight="1" x14ac:dyDescent="0.55000000000000004">
      <c r="C159" s="38" t="e">
        <f ca="1"/>
        <v>#NAME?</v>
      </c>
      <c r="D159" s="38" t="e">
        <f ca="1"/>
        <v>#NAME?</v>
      </c>
      <c r="E159" s="38" t="e">
        <f ca="1"/>
        <v>#NAME?</v>
      </c>
      <c r="F159" s="38" t="e">
        <f ca="1"/>
        <v>#NAME?</v>
      </c>
      <c r="G159" s="38" t="e">
        <f ca="1"/>
        <v>#NAME?</v>
      </c>
      <c r="H159" s="38" t="e">
        <f ca="1"/>
        <v>#NAME?</v>
      </c>
      <c r="I159" s="39" t="e">
        <f ca="1"/>
        <v>#NAME?</v>
      </c>
    </row>
    <row r="160" spans="3:9" ht="54" customHeight="1" thickBot="1" x14ac:dyDescent="0.6">
      <c r="C160" s="40" t="e">
        <f ca="1"/>
        <v>#NAME?</v>
      </c>
      <c r="D160" s="40" t="e">
        <f ca="1"/>
        <v>#NAME?</v>
      </c>
      <c r="E160" s="40" t="e">
        <f ca="1"/>
        <v>#NAME?</v>
      </c>
      <c r="F160" s="40" t="e">
        <f ca="1"/>
        <v>#NAME?</v>
      </c>
      <c r="G160" s="40" t="e">
        <f ca="1"/>
        <v>#NAME?</v>
      </c>
      <c r="H160" s="40" t="e">
        <f ca="1"/>
        <v>#NAME?</v>
      </c>
      <c r="I160" s="41" t="e">
        <f ca="1"/>
        <v>#NAME?</v>
      </c>
    </row>
    <row r="161" spans="3:9" ht="28.5" customHeight="1" x14ac:dyDescent="0.55000000000000004">
      <c r="C161" s="38" t="e">
        <f ca="1"/>
        <v>#NAME?</v>
      </c>
      <c r="D161" s="38" t="e">
        <f ca="1"/>
        <v>#NAME?</v>
      </c>
      <c r="E161" s="38" t="e">
        <f ca="1"/>
        <v>#NAME?</v>
      </c>
      <c r="F161" s="38" t="e">
        <f ca="1"/>
        <v>#NAME?</v>
      </c>
      <c r="G161" s="38" t="e">
        <f ca="1"/>
        <v>#NAME?</v>
      </c>
      <c r="H161" s="38" t="e">
        <f ca="1"/>
        <v>#NAME?</v>
      </c>
      <c r="I161" s="39" t="e">
        <f ca="1"/>
        <v>#NAME?</v>
      </c>
    </row>
    <row r="162" spans="3:9" ht="54" customHeight="1" thickBot="1" x14ac:dyDescent="0.6">
      <c r="C162" s="40" t="e">
        <f ca="1"/>
        <v>#NAME?</v>
      </c>
      <c r="D162" s="40" t="e">
        <f ca="1"/>
        <v>#NAME?</v>
      </c>
      <c r="E162" s="40" t="e">
        <f ca="1"/>
        <v>#NAME?</v>
      </c>
      <c r="F162" s="40" t="e">
        <f ca="1"/>
        <v>#NAME?</v>
      </c>
      <c r="G162" s="40" t="e">
        <f ca="1"/>
        <v>#NAME?</v>
      </c>
      <c r="H162" s="40" t="e">
        <f ca="1"/>
        <v>#NAME?</v>
      </c>
      <c r="I162" s="41" t="e">
        <f ca="1"/>
        <v>#NAME?</v>
      </c>
    </row>
    <row r="163" spans="3:9" ht="15.75" customHeight="1" x14ac:dyDescent="0.55000000000000004"/>
    <row r="164" spans="3:9" ht="14.7" thickBot="1" x14ac:dyDescent="0.6"/>
    <row r="165" spans="3:9" ht="39" customHeight="1" x14ac:dyDescent="0.55000000000000004">
      <c r="C165" s="56" t="e">
        <f ca="1">TEXT(C169,"MMMM YYYY")</f>
        <v>#NAME?</v>
      </c>
      <c r="D165" s="57"/>
      <c r="E165" s="57"/>
      <c r="F165" s="57"/>
      <c r="G165" s="57"/>
      <c r="H165" s="57"/>
      <c r="I165" s="58"/>
    </row>
    <row r="166" spans="3:9" ht="28.5" customHeight="1" thickBot="1" x14ac:dyDescent="0.6">
      <c r="C166" s="34" t="e">
        <f ca="1">UPPER(TEXT(C169,"DDD"))</f>
        <v>#NAME?</v>
      </c>
      <c r="D166" s="34" t="e">
        <f t="shared" ref="D166:I166" ca="1" si="10">UPPER(TEXT(D169,"DDD"))</f>
        <v>#NAME?</v>
      </c>
      <c r="E166" s="34" t="e">
        <f t="shared" ca="1" si="10"/>
        <v>#NAME?</v>
      </c>
      <c r="F166" s="34" t="e">
        <f t="shared" ca="1" si="10"/>
        <v>#NAME?</v>
      </c>
      <c r="G166" s="34" t="e">
        <f t="shared" ca="1" si="10"/>
        <v>#NAME?</v>
      </c>
      <c r="H166" s="34" t="e">
        <f t="shared" ca="1" si="10"/>
        <v>#NAME?</v>
      </c>
      <c r="I166" s="34" t="e">
        <f t="shared" ca="1" si="10"/>
        <v>#NAME?</v>
      </c>
    </row>
    <row r="167" spans="3:9" ht="28.5" customHeight="1" x14ac:dyDescent="0.55000000000000004">
      <c r="C167" s="38" t="e" cm="1">
        <f t="array" aca="1" ref="C167:I178" ca="1">_xlfn.ANCHORARRAY(Calc!AS173)</f>
        <v>#NAME?</v>
      </c>
      <c r="D167" s="38" t="e">
        <f ca="1"/>
        <v>#NAME?</v>
      </c>
      <c r="E167" s="38" t="e">
        <f ca="1"/>
        <v>#NAME?</v>
      </c>
      <c r="F167" s="38" t="e">
        <f ca="1"/>
        <v>#NAME?</v>
      </c>
      <c r="G167" s="38" t="e">
        <f ca="1"/>
        <v>#NAME?</v>
      </c>
      <c r="H167" s="38" t="e">
        <f ca="1"/>
        <v>#NAME?</v>
      </c>
      <c r="I167" s="39" t="e">
        <f ca="1"/>
        <v>#NAME?</v>
      </c>
    </row>
    <row r="168" spans="3:9" ht="54" customHeight="1" thickBot="1" x14ac:dyDescent="0.6">
      <c r="C168" s="40" t="e">
        <f ca="1"/>
        <v>#NAME?</v>
      </c>
      <c r="D168" s="40" t="e">
        <f ca="1"/>
        <v>#NAME?</v>
      </c>
      <c r="E168" s="40" t="e">
        <f ca="1"/>
        <v>#NAME?</v>
      </c>
      <c r="F168" s="40" t="e">
        <f ca="1"/>
        <v>#NAME?</v>
      </c>
      <c r="G168" s="40" t="e">
        <f ca="1"/>
        <v>#NAME?</v>
      </c>
      <c r="H168" s="40" t="e">
        <f ca="1"/>
        <v>#NAME?</v>
      </c>
      <c r="I168" s="41" t="e">
        <f ca="1"/>
        <v>#NAME?</v>
      </c>
    </row>
    <row r="169" spans="3:9" ht="28.5" customHeight="1" x14ac:dyDescent="0.55000000000000004">
      <c r="C169" s="38" t="e">
        <f ca="1"/>
        <v>#NAME?</v>
      </c>
      <c r="D169" s="38" t="e">
        <f ca="1"/>
        <v>#NAME?</v>
      </c>
      <c r="E169" s="38" t="e">
        <f ca="1"/>
        <v>#NAME?</v>
      </c>
      <c r="F169" s="38" t="e">
        <f ca="1"/>
        <v>#NAME?</v>
      </c>
      <c r="G169" s="38" t="e">
        <f ca="1"/>
        <v>#NAME?</v>
      </c>
      <c r="H169" s="38" t="e">
        <f ca="1"/>
        <v>#NAME?</v>
      </c>
      <c r="I169" s="39" t="e">
        <f ca="1"/>
        <v>#NAME?</v>
      </c>
    </row>
    <row r="170" spans="3:9" ht="54" customHeight="1" thickBot="1" x14ac:dyDescent="0.6">
      <c r="C170" s="40" t="e">
        <f ca="1"/>
        <v>#NAME?</v>
      </c>
      <c r="D170" s="40" t="e">
        <f ca="1"/>
        <v>#NAME?</v>
      </c>
      <c r="E170" s="40" t="e">
        <f ca="1"/>
        <v>#NAME?</v>
      </c>
      <c r="F170" s="40" t="e">
        <f ca="1"/>
        <v>#NAME?</v>
      </c>
      <c r="G170" s="40" t="e">
        <f ca="1"/>
        <v>#NAME?</v>
      </c>
      <c r="H170" s="40" t="e">
        <f ca="1"/>
        <v>#NAME?</v>
      </c>
      <c r="I170" s="41" t="e">
        <f ca="1"/>
        <v>#NAME?</v>
      </c>
    </row>
    <row r="171" spans="3:9" ht="28.5" customHeight="1" x14ac:dyDescent="0.55000000000000004">
      <c r="C171" s="38" t="e">
        <f ca="1"/>
        <v>#NAME?</v>
      </c>
      <c r="D171" s="38" t="e">
        <f ca="1"/>
        <v>#NAME?</v>
      </c>
      <c r="E171" s="38" t="e">
        <f ca="1"/>
        <v>#NAME?</v>
      </c>
      <c r="F171" s="38" t="e">
        <f ca="1"/>
        <v>#NAME?</v>
      </c>
      <c r="G171" s="38" t="e">
        <f ca="1"/>
        <v>#NAME?</v>
      </c>
      <c r="H171" s="38" t="e">
        <f ca="1"/>
        <v>#NAME?</v>
      </c>
      <c r="I171" s="39" t="e">
        <f ca="1"/>
        <v>#NAME?</v>
      </c>
    </row>
    <row r="172" spans="3:9" ht="54" customHeight="1" thickBot="1" x14ac:dyDescent="0.6">
      <c r="C172" s="40" t="e">
        <f ca="1"/>
        <v>#NAME?</v>
      </c>
      <c r="D172" s="40" t="e">
        <f ca="1"/>
        <v>#NAME?</v>
      </c>
      <c r="E172" s="40" t="e">
        <f ca="1"/>
        <v>#NAME?</v>
      </c>
      <c r="F172" s="40" t="e">
        <f ca="1"/>
        <v>#NAME?</v>
      </c>
      <c r="G172" s="40" t="e">
        <f ca="1"/>
        <v>#NAME?</v>
      </c>
      <c r="H172" s="40" t="e">
        <f ca="1"/>
        <v>#NAME?</v>
      </c>
      <c r="I172" s="41" t="e">
        <f ca="1"/>
        <v>#NAME?</v>
      </c>
    </row>
    <row r="173" spans="3:9" ht="28.5" customHeight="1" x14ac:dyDescent="0.55000000000000004">
      <c r="C173" s="38" t="e">
        <f ca="1"/>
        <v>#NAME?</v>
      </c>
      <c r="D173" s="38" t="e">
        <f ca="1"/>
        <v>#NAME?</v>
      </c>
      <c r="E173" s="38" t="e">
        <f ca="1"/>
        <v>#NAME?</v>
      </c>
      <c r="F173" s="38" t="e">
        <f ca="1"/>
        <v>#NAME?</v>
      </c>
      <c r="G173" s="38" t="e">
        <f ca="1"/>
        <v>#NAME?</v>
      </c>
      <c r="H173" s="38" t="e">
        <f ca="1"/>
        <v>#NAME?</v>
      </c>
      <c r="I173" s="39" t="e">
        <f ca="1"/>
        <v>#NAME?</v>
      </c>
    </row>
    <row r="174" spans="3:9" ht="54" customHeight="1" thickBot="1" x14ac:dyDescent="0.6">
      <c r="C174" s="40" t="e">
        <f ca="1"/>
        <v>#NAME?</v>
      </c>
      <c r="D174" s="40" t="e">
        <f ca="1"/>
        <v>#NAME?</v>
      </c>
      <c r="E174" s="40" t="e">
        <f ca="1"/>
        <v>#NAME?</v>
      </c>
      <c r="F174" s="40" t="e">
        <f ca="1"/>
        <v>#NAME?</v>
      </c>
      <c r="G174" s="40" t="e">
        <f ca="1"/>
        <v>#NAME?</v>
      </c>
      <c r="H174" s="40" t="e">
        <f ca="1"/>
        <v>#NAME?</v>
      </c>
      <c r="I174" s="41" t="e">
        <f ca="1"/>
        <v>#NAME?</v>
      </c>
    </row>
    <row r="175" spans="3:9" ht="28.5" customHeight="1" x14ac:dyDescent="0.55000000000000004">
      <c r="C175" s="38" t="e">
        <f ca="1"/>
        <v>#NAME?</v>
      </c>
      <c r="D175" s="38" t="e">
        <f ca="1"/>
        <v>#NAME?</v>
      </c>
      <c r="E175" s="38" t="e">
        <f ca="1"/>
        <v>#NAME?</v>
      </c>
      <c r="F175" s="38" t="e">
        <f ca="1"/>
        <v>#NAME?</v>
      </c>
      <c r="G175" s="38" t="e">
        <f ca="1"/>
        <v>#NAME?</v>
      </c>
      <c r="H175" s="38" t="e">
        <f ca="1"/>
        <v>#NAME?</v>
      </c>
      <c r="I175" s="39" t="e">
        <f ca="1"/>
        <v>#NAME?</v>
      </c>
    </row>
    <row r="176" spans="3:9" ht="54" customHeight="1" thickBot="1" x14ac:dyDescent="0.6">
      <c r="C176" s="40" t="e">
        <f ca="1"/>
        <v>#NAME?</v>
      </c>
      <c r="D176" s="40" t="e">
        <f ca="1"/>
        <v>#NAME?</v>
      </c>
      <c r="E176" s="40" t="e">
        <f ca="1"/>
        <v>#NAME?</v>
      </c>
      <c r="F176" s="40" t="e">
        <f ca="1"/>
        <v>#NAME?</v>
      </c>
      <c r="G176" s="40" t="e">
        <f ca="1"/>
        <v>#NAME?</v>
      </c>
      <c r="H176" s="40" t="e">
        <f ca="1"/>
        <v>#NAME?</v>
      </c>
      <c r="I176" s="41" t="e">
        <f ca="1"/>
        <v>#NAME?</v>
      </c>
    </row>
    <row r="177" spans="3:9" ht="28.5" customHeight="1" x14ac:dyDescent="0.55000000000000004">
      <c r="C177" s="38" t="e">
        <f ca="1"/>
        <v>#NAME?</v>
      </c>
      <c r="D177" s="38" t="e">
        <f ca="1"/>
        <v>#NAME?</v>
      </c>
      <c r="E177" s="38" t="e">
        <f ca="1"/>
        <v>#NAME?</v>
      </c>
      <c r="F177" s="38" t="e">
        <f ca="1"/>
        <v>#NAME?</v>
      </c>
      <c r="G177" s="38" t="e">
        <f ca="1"/>
        <v>#NAME?</v>
      </c>
      <c r="H177" s="38" t="e">
        <f ca="1"/>
        <v>#NAME?</v>
      </c>
      <c r="I177" s="39" t="e">
        <f ca="1"/>
        <v>#NAME?</v>
      </c>
    </row>
    <row r="178" spans="3:9" ht="54" customHeight="1" thickBot="1" x14ac:dyDescent="0.6">
      <c r="C178" s="40" t="e">
        <f ca="1"/>
        <v>#NAME?</v>
      </c>
      <c r="D178" s="40" t="e">
        <f ca="1"/>
        <v>#NAME?</v>
      </c>
      <c r="E178" s="40" t="e">
        <f ca="1"/>
        <v>#NAME?</v>
      </c>
      <c r="F178" s="40" t="e">
        <f ca="1"/>
        <v>#NAME?</v>
      </c>
      <c r="G178" s="40" t="e">
        <f ca="1"/>
        <v>#NAME?</v>
      </c>
      <c r="H178" s="40" t="e">
        <f ca="1"/>
        <v>#NAME?</v>
      </c>
      <c r="I178" s="41" t="e">
        <f ca="1"/>
        <v>#NAME?</v>
      </c>
    </row>
    <row r="179" spans="3:9" ht="15.75" customHeight="1" x14ac:dyDescent="0.55000000000000004"/>
    <row r="180" spans="3:9" ht="14.7" thickBot="1" x14ac:dyDescent="0.6"/>
    <row r="181" spans="3:9" ht="39" customHeight="1" x14ac:dyDescent="0.55000000000000004">
      <c r="C181" s="56" t="e">
        <f ca="1">TEXT(C185,"MMMM YYYY")</f>
        <v>#NAME?</v>
      </c>
      <c r="D181" s="57"/>
      <c r="E181" s="57"/>
      <c r="F181" s="57"/>
      <c r="G181" s="57"/>
      <c r="H181" s="57"/>
      <c r="I181" s="58"/>
    </row>
    <row r="182" spans="3:9" ht="28.5" customHeight="1" thickBot="1" x14ac:dyDescent="0.6">
      <c r="C182" s="34" t="e">
        <f ca="1">UPPER(TEXT(C185,"DDD"))</f>
        <v>#NAME?</v>
      </c>
      <c r="D182" s="34" t="e">
        <f t="shared" ref="D182:I182" ca="1" si="11">UPPER(TEXT(D185,"DDD"))</f>
        <v>#NAME?</v>
      </c>
      <c r="E182" s="34" t="e">
        <f t="shared" ca="1" si="11"/>
        <v>#NAME?</v>
      </c>
      <c r="F182" s="34" t="e">
        <f t="shared" ca="1" si="11"/>
        <v>#NAME?</v>
      </c>
      <c r="G182" s="34" t="e">
        <f t="shared" ca="1" si="11"/>
        <v>#NAME?</v>
      </c>
      <c r="H182" s="34" t="e">
        <f t="shared" ca="1" si="11"/>
        <v>#NAME?</v>
      </c>
      <c r="I182" s="34" t="e">
        <f t="shared" ca="1" si="11"/>
        <v>#NAME?</v>
      </c>
    </row>
    <row r="183" spans="3:9" ht="28.5" customHeight="1" x14ac:dyDescent="0.55000000000000004">
      <c r="C183" s="38" t="e" cm="1">
        <f t="array" aca="1" ref="C183:I194" ca="1">_xlfn.ANCHORARRAY(Calc!AS189)</f>
        <v>#NAME?</v>
      </c>
      <c r="D183" s="38" t="e">
        <f ca="1"/>
        <v>#NAME?</v>
      </c>
      <c r="E183" s="38" t="e">
        <f ca="1"/>
        <v>#NAME?</v>
      </c>
      <c r="F183" s="38" t="e">
        <f ca="1"/>
        <v>#NAME?</v>
      </c>
      <c r="G183" s="38" t="e">
        <f ca="1"/>
        <v>#NAME?</v>
      </c>
      <c r="H183" s="38" t="e">
        <f ca="1"/>
        <v>#NAME?</v>
      </c>
      <c r="I183" s="39" t="e">
        <f ca="1"/>
        <v>#NAME?</v>
      </c>
    </row>
    <row r="184" spans="3:9" ht="54" customHeight="1" thickBot="1" x14ac:dyDescent="0.6">
      <c r="C184" s="40" t="e">
        <f ca="1"/>
        <v>#NAME?</v>
      </c>
      <c r="D184" s="40" t="e">
        <f ca="1"/>
        <v>#NAME?</v>
      </c>
      <c r="E184" s="40" t="e">
        <f ca="1"/>
        <v>#NAME?</v>
      </c>
      <c r="F184" s="40" t="e">
        <f ca="1"/>
        <v>#NAME?</v>
      </c>
      <c r="G184" s="40" t="e">
        <f ca="1"/>
        <v>#NAME?</v>
      </c>
      <c r="H184" s="40" t="e">
        <f ca="1"/>
        <v>#NAME?</v>
      </c>
      <c r="I184" s="41" t="e">
        <f ca="1"/>
        <v>#NAME?</v>
      </c>
    </row>
    <row r="185" spans="3:9" ht="28.5" customHeight="1" x14ac:dyDescent="0.55000000000000004">
      <c r="C185" s="38" t="e">
        <f ca="1"/>
        <v>#NAME?</v>
      </c>
      <c r="D185" s="38" t="e">
        <f ca="1"/>
        <v>#NAME?</v>
      </c>
      <c r="E185" s="38" t="e">
        <f ca="1"/>
        <v>#NAME?</v>
      </c>
      <c r="F185" s="38" t="e">
        <f ca="1"/>
        <v>#NAME?</v>
      </c>
      <c r="G185" s="38" t="e">
        <f ca="1"/>
        <v>#NAME?</v>
      </c>
      <c r="H185" s="38" t="e">
        <f ca="1"/>
        <v>#NAME?</v>
      </c>
      <c r="I185" s="39" t="e">
        <f ca="1"/>
        <v>#NAME?</v>
      </c>
    </row>
    <row r="186" spans="3:9" ht="54" customHeight="1" thickBot="1" x14ac:dyDescent="0.6">
      <c r="C186" s="40" t="e">
        <f ca="1"/>
        <v>#NAME?</v>
      </c>
      <c r="D186" s="40" t="e">
        <f ca="1"/>
        <v>#NAME?</v>
      </c>
      <c r="E186" s="40" t="e">
        <f ca="1"/>
        <v>#NAME?</v>
      </c>
      <c r="F186" s="40" t="e">
        <f ca="1"/>
        <v>#NAME?</v>
      </c>
      <c r="G186" s="40" t="e">
        <f ca="1"/>
        <v>#NAME?</v>
      </c>
      <c r="H186" s="40" t="e">
        <f ca="1"/>
        <v>#NAME?</v>
      </c>
      <c r="I186" s="41" t="e">
        <f ca="1"/>
        <v>#NAME?</v>
      </c>
    </row>
    <row r="187" spans="3:9" ht="28.5" customHeight="1" x14ac:dyDescent="0.55000000000000004">
      <c r="C187" s="38" t="e">
        <f ca="1"/>
        <v>#NAME?</v>
      </c>
      <c r="D187" s="38" t="e">
        <f ca="1"/>
        <v>#NAME?</v>
      </c>
      <c r="E187" s="38" t="e">
        <f ca="1"/>
        <v>#NAME?</v>
      </c>
      <c r="F187" s="38" t="e">
        <f ca="1"/>
        <v>#NAME?</v>
      </c>
      <c r="G187" s="38" t="e">
        <f ca="1"/>
        <v>#NAME?</v>
      </c>
      <c r="H187" s="38" t="e">
        <f ca="1"/>
        <v>#NAME?</v>
      </c>
      <c r="I187" s="39" t="e">
        <f ca="1"/>
        <v>#NAME?</v>
      </c>
    </row>
    <row r="188" spans="3:9" ht="54" customHeight="1" thickBot="1" x14ac:dyDescent="0.6">
      <c r="C188" s="40" t="e">
        <f ca="1"/>
        <v>#NAME?</v>
      </c>
      <c r="D188" s="40" t="e">
        <f ca="1"/>
        <v>#NAME?</v>
      </c>
      <c r="E188" s="40" t="e">
        <f ca="1"/>
        <v>#NAME?</v>
      </c>
      <c r="F188" s="40" t="e">
        <f ca="1"/>
        <v>#NAME?</v>
      </c>
      <c r="G188" s="40" t="e">
        <f ca="1"/>
        <v>#NAME?</v>
      </c>
      <c r="H188" s="40" t="e">
        <f ca="1"/>
        <v>#NAME?</v>
      </c>
      <c r="I188" s="41" t="e">
        <f ca="1"/>
        <v>#NAME?</v>
      </c>
    </row>
    <row r="189" spans="3:9" ht="28.5" customHeight="1" x14ac:dyDescent="0.55000000000000004">
      <c r="C189" s="38" t="e">
        <f ca="1"/>
        <v>#NAME?</v>
      </c>
      <c r="D189" s="38" t="e">
        <f ca="1"/>
        <v>#NAME?</v>
      </c>
      <c r="E189" s="38" t="e">
        <f ca="1"/>
        <v>#NAME?</v>
      </c>
      <c r="F189" s="38" t="e">
        <f ca="1"/>
        <v>#NAME?</v>
      </c>
      <c r="G189" s="38" t="e">
        <f ca="1"/>
        <v>#NAME?</v>
      </c>
      <c r="H189" s="38" t="e">
        <f ca="1"/>
        <v>#NAME?</v>
      </c>
      <c r="I189" s="39" t="e">
        <f ca="1"/>
        <v>#NAME?</v>
      </c>
    </row>
    <row r="190" spans="3:9" ht="54" customHeight="1" thickBot="1" x14ac:dyDescent="0.6">
      <c r="C190" s="40" t="e">
        <f ca="1"/>
        <v>#NAME?</v>
      </c>
      <c r="D190" s="40" t="e">
        <f ca="1"/>
        <v>#NAME?</v>
      </c>
      <c r="E190" s="40" t="e">
        <f ca="1"/>
        <v>#NAME?</v>
      </c>
      <c r="F190" s="40" t="e">
        <f ca="1"/>
        <v>#NAME?</v>
      </c>
      <c r="G190" s="40" t="e">
        <f ca="1"/>
        <v>#NAME?</v>
      </c>
      <c r="H190" s="40" t="e">
        <f ca="1"/>
        <v>#NAME?</v>
      </c>
      <c r="I190" s="41" t="e">
        <f ca="1"/>
        <v>#NAME?</v>
      </c>
    </row>
    <row r="191" spans="3:9" ht="28.5" customHeight="1" x14ac:dyDescent="0.55000000000000004">
      <c r="C191" s="38" t="e">
        <f ca="1"/>
        <v>#NAME?</v>
      </c>
      <c r="D191" s="38" t="e">
        <f ca="1"/>
        <v>#NAME?</v>
      </c>
      <c r="E191" s="38" t="e">
        <f ca="1"/>
        <v>#NAME?</v>
      </c>
      <c r="F191" s="38" t="e">
        <f ca="1"/>
        <v>#NAME?</v>
      </c>
      <c r="G191" s="38" t="e">
        <f ca="1"/>
        <v>#NAME?</v>
      </c>
      <c r="H191" s="38" t="e">
        <f ca="1"/>
        <v>#NAME?</v>
      </c>
      <c r="I191" s="39" t="e">
        <f ca="1"/>
        <v>#NAME?</v>
      </c>
    </row>
    <row r="192" spans="3:9" ht="54" customHeight="1" thickBot="1" x14ac:dyDescent="0.6">
      <c r="C192" s="40" t="e">
        <f ca="1"/>
        <v>#NAME?</v>
      </c>
      <c r="D192" s="40" t="e">
        <f ca="1"/>
        <v>#NAME?</v>
      </c>
      <c r="E192" s="40" t="e">
        <f ca="1"/>
        <v>#NAME?</v>
      </c>
      <c r="F192" s="40" t="e">
        <f ca="1"/>
        <v>#NAME?</v>
      </c>
      <c r="G192" s="40" t="e">
        <f ca="1"/>
        <v>#NAME?</v>
      </c>
      <c r="H192" s="40" t="e">
        <f ca="1"/>
        <v>#NAME?</v>
      </c>
      <c r="I192" s="41" t="e">
        <f ca="1"/>
        <v>#NAME?</v>
      </c>
    </row>
    <row r="193" spans="3:9" ht="28.5" customHeight="1" x14ac:dyDescent="0.55000000000000004">
      <c r="C193" s="38" t="e">
        <f ca="1"/>
        <v>#NAME?</v>
      </c>
      <c r="D193" s="38" t="e">
        <f ca="1"/>
        <v>#NAME?</v>
      </c>
      <c r="E193" s="38" t="e">
        <f ca="1"/>
        <v>#NAME?</v>
      </c>
      <c r="F193" s="38" t="e">
        <f ca="1"/>
        <v>#NAME?</v>
      </c>
      <c r="G193" s="38" t="e">
        <f ca="1"/>
        <v>#NAME?</v>
      </c>
      <c r="H193" s="38" t="e">
        <f ca="1"/>
        <v>#NAME?</v>
      </c>
      <c r="I193" s="39" t="e">
        <f ca="1"/>
        <v>#NAME?</v>
      </c>
    </row>
    <row r="194" spans="3:9" ht="54" customHeight="1" thickBot="1" x14ac:dyDescent="0.6">
      <c r="C194" s="40" t="e">
        <f ca="1"/>
        <v>#NAME?</v>
      </c>
      <c r="D194" s="40" t="e">
        <f ca="1"/>
        <v>#NAME?</v>
      </c>
      <c r="E194" s="40" t="e">
        <f ca="1"/>
        <v>#NAME?</v>
      </c>
      <c r="F194" s="40" t="e">
        <f ca="1"/>
        <v>#NAME?</v>
      </c>
      <c r="G194" s="40" t="e">
        <f ca="1"/>
        <v>#NAME?</v>
      </c>
      <c r="H194" s="40" t="e">
        <f ca="1"/>
        <v>#NAME?</v>
      </c>
      <c r="I194" s="41" t="e">
        <f ca="1"/>
        <v>#NAME?</v>
      </c>
    </row>
    <row r="195" spans="3:9" ht="15.75" customHeight="1" x14ac:dyDescent="0.55000000000000004"/>
  </sheetData>
  <mergeCells count="12">
    <mergeCell ref="C85:I85"/>
    <mergeCell ref="C5:I5"/>
    <mergeCell ref="C21:I21"/>
    <mergeCell ref="C37:I37"/>
    <mergeCell ref="C53:I53"/>
    <mergeCell ref="C69:I69"/>
    <mergeCell ref="C181:I181"/>
    <mergeCell ref="C101:I101"/>
    <mergeCell ref="C117:I117"/>
    <mergeCell ref="C133:I133"/>
    <mergeCell ref="C149:I149"/>
    <mergeCell ref="C165:I165"/>
  </mergeCells>
  <conditionalFormatting sqref="C7:I18">
    <cfRule type="expression" dxfId="25" priority="25">
      <formula>IF(ISNUMBER(C7), AND(C7&lt;&gt;"", NETWORKDAYS.INTL(C7,C7,weekend.type, holiday_dates)=0), AND(C6&lt;&gt;"", NETWORKDAYS.INTL(C6,C6,weekend.type, holiday_dates)=0))</formula>
    </cfRule>
    <cfRule type="expression" dxfId="24" priority="26">
      <formula>AND(show.planner="Yes",IF(ISNUMBER(C7),COUNTIFS(planner_dates,C7),COUNTIFS(planner_dates,C6)))</formula>
    </cfRule>
  </conditionalFormatting>
  <conditionalFormatting sqref="C23:I34">
    <cfRule type="expression" dxfId="23" priority="23">
      <formula>IF(ISNUMBER(C23), AND(C23&lt;&gt;"", NETWORKDAYS.INTL(C23,C23,weekend.type, holiday_dates)=0), AND(C22&lt;&gt;"", NETWORKDAYS.INTL(C22,C22,weekend.type, holiday_dates)=0))</formula>
    </cfRule>
    <cfRule type="expression" dxfId="22" priority="24">
      <formula>AND(show.planner="Yes",IF(ISNUMBER(C23),COUNTIFS(planner_dates,C23),COUNTIFS(planner_dates,C22)))</formula>
    </cfRule>
  </conditionalFormatting>
  <conditionalFormatting sqref="C39:I50">
    <cfRule type="expression" dxfId="21" priority="21">
      <formula>IF(ISNUMBER(C39), AND(C39&lt;&gt;"", NETWORKDAYS.INTL(C39,C39,weekend.type, holiday_dates)=0), AND(C38&lt;&gt;"", NETWORKDAYS.INTL(C38,C38,weekend.type, holiday_dates)=0))</formula>
    </cfRule>
    <cfRule type="expression" dxfId="20" priority="22">
      <formula>AND(show.planner="Yes",IF(ISNUMBER(C39),COUNTIFS(planner_dates,C39),COUNTIFS(planner_dates,C38)))</formula>
    </cfRule>
  </conditionalFormatting>
  <conditionalFormatting sqref="C55:I66">
    <cfRule type="expression" dxfId="19" priority="19">
      <formula>IF(ISNUMBER(C55), AND(C55&lt;&gt;"", NETWORKDAYS.INTL(C55,C55,weekend.type, holiday_dates)=0), AND(C54&lt;&gt;"", NETWORKDAYS.INTL(C54,C54,weekend.type, holiday_dates)=0))</formula>
    </cfRule>
    <cfRule type="expression" dxfId="18" priority="20">
      <formula>AND(show.planner="Yes",IF(ISNUMBER(C55),COUNTIFS(planner_dates,C55),COUNTIFS(planner_dates,C54)))</formula>
    </cfRule>
  </conditionalFormatting>
  <conditionalFormatting sqref="C71:I82">
    <cfRule type="expression" dxfId="17" priority="17">
      <formula>IF(ISNUMBER(C71), AND(C71&lt;&gt;"", NETWORKDAYS.INTL(C71,C71,weekend.type, holiday_dates)=0), AND(C70&lt;&gt;"", NETWORKDAYS.INTL(C70,C70,weekend.type, holiday_dates)=0))</formula>
    </cfRule>
    <cfRule type="expression" dxfId="16" priority="18">
      <formula>AND(show.planner="Yes",IF(ISNUMBER(C71),COUNTIFS(planner_dates,C71),COUNTIFS(planner_dates,C70)))</formula>
    </cfRule>
  </conditionalFormatting>
  <conditionalFormatting sqref="C87:I98">
    <cfRule type="expression" dxfId="15" priority="15">
      <formula>IF(ISNUMBER(C87), AND(C87&lt;&gt;"", NETWORKDAYS.INTL(C87,C87,weekend.type, holiday_dates)=0), AND(C86&lt;&gt;"", NETWORKDAYS.INTL(C86,C86,weekend.type, holiday_dates)=0))</formula>
    </cfRule>
    <cfRule type="expression" dxfId="14" priority="16">
      <formula>AND(show.planner="Yes",IF(ISNUMBER(C87),COUNTIFS(planner_dates,C87),COUNTIFS(planner_dates,C86)))</formula>
    </cfRule>
  </conditionalFormatting>
  <conditionalFormatting sqref="C103:I114">
    <cfRule type="expression" dxfId="13" priority="11">
      <formula>IF(ISNUMBER(C103), AND(C103&lt;&gt;"", NETWORKDAYS.INTL(C103,C103,weekend.type, holiday_dates)=0), AND(C102&lt;&gt;"", NETWORKDAYS.INTL(C102,C102,weekend.type, holiday_dates)=0))</formula>
    </cfRule>
    <cfRule type="expression" dxfId="12" priority="12">
      <formula>AND(show.planner="Yes",IF(ISNUMBER(C103),COUNTIFS(planner_dates,C103),COUNTIFS(planner_dates,C102)))</formula>
    </cfRule>
  </conditionalFormatting>
  <conditionalFormatting sqref="C119:I130">
    <cfRule type="expression" dxfId="11" priority="9">
      <formula>IF(ISNUMBER(C119), AND(C119&lt;&gt;"", NETWORKDAYS.INTL(C119,C119,weekend.type, holiday_dates)=0), AND(C118&lt;&gt;"", NETWORKDAYS.INTL(C118,C118,weekend.type, holiday_dates)=0))</formula>
    </cfRule>
    <cfRule type="expression" dxfId="10" priority="10">
      <formula>AND(show.planner="Yes",IF(ISNUMBER(C119),COUNTIFS(planner_dates,C119),COUNTIFS(planner_dates,C118)))</formula>
    </cfRule>
  </conditionalFormatting>
  <conditionalFormatting sqref="C135:I146">
    <cfRule type="expression" dxfId="9" priority="7">
      <formula>IF(ISNUMBER(C135), AND(C135&lt;&gt;"", NETWORKDAYS.INTL(C135,C135,weekend.type, holiday_dates)=0), AND(C134&lt;&gt;"", NETWORKDAYS.INTL(C134,C134,weekend.type, holiday_dates)=0))</formula>
    </cfRule>
    <cfRule type="expression" dxfId="8" priority="8">
      <formula>AND(show.planner="Yes",IF(ISNUMBER(C135),COUNTIFS(planner_dates,C135),COUNTIFS(planner_dates,C134)))</formula>
    </cfRule>
  </conditionalFormatting>
  <conditionalFormatting sqref="C151:I162">
    <cfRule type="expression" dxfId="7" priority="5">
      <formula>IF(ISNUMBER(C151), AND(C151&lt;&gt;"", NETWORKDAYS.INTL(C151,C151,weekend.type, holiday_dates)=0), AND(C150&lt;&gt;"", NETWORKDAYS.INTL(C150,C150,weekend.type, holiday_dates)=0))</formula>
    </cfRule>
    <cfRule type="expression" dxfId="6" priority="6">
      <formula>AND(show.planner="Yes",IF(ISNUMBER(C151),COUNTIFS(planner_dates,C151),COUNTIFS(planner_dates,C150)))</formula>
    </cfRule>
  </conditionalFormatting>
  <conditionalFormatting sqref="C167:I178">
    <cfRule type="expression" dxfId="5" priority="3">
      <formula>IF(ISNUMBER(C167), AND(C167&lt;&gt;"", NETWORKDAYS.INTL(C167,C167,weekend.type, holiday_dates)=0), AND(C166&lt;&gt;"", NETWORKDAYS.INTL(C166,C166,weekend.type, holiday_dates)=0))</formula>
    </cfRule>
    <cfRule type="expression" dxfId="4" priority="4">
      <formula>AND(show.planner="Yes",IF(ISNUMBER(C167),COUNTIFS(planner_dates,C167),COUNTIFS(planner_dates,C166)))</formula>
    </cfRule>
  </conditionalFormatting>
  <conditionalFormatting sqref="C183:I194">
    <cfRule type="expression" dxfId="3" priority="1">
      <formula>IF(ISNUMBER(C183), AND(C183&lt;&gt;"", NETWORKDAYS.INTL(C183,C183,weekend.type, holiday_dates)=0), AND(C182&lt;&gt;"", NETWORKDAYS.INTL(C182,C182,weekend.type, holiday_dates)=0))</formula>
    </cfRule>
    <cfRule type="expression" dxfId="2" priority="2">
      <formula>AND(show.planner="Yes",IF(ISNUMBER(C183),COUNTIFS(planner_dates,C183),COUNTIFS(planner_dates,C182)))</formula>
    </cfRule>
  </conditionalFormatting>
  <pageMargins left="0.7" right="0.7" top="0.75" bottom="0.75" header="0.3" footer="0.3"/>
  <pageSetup paperSize="9" scale="59" fitToHeight="12" orientation="portrait" horizontalDpi="90" verticalDpi="90" r:id="rId1"/>
  <rowBreaks count="11" manualBreakCount="11">
    <brk id="19" min="1" max="9" man="1"/>
    <brk id="35" min="1" max="9" man="1"/>
    <brk id="51" min="1" max="9" man="1"/>
    <brk id="67" min="1" max="9" man="1"/>
    <brk id="83" min="1" max="9" man="1"/>
    <brk id="99" min="1" max="9" man="1"/>
    <brk id="115" min="1" max="9" man="1"/>
    <brk id="131" min="1" max="9" man="1"/>
    <brk id="147" min="1" max="9" man="1"/>
    <brk id="163" min="1" max="9" man="1"/>
    <brk id="179" min="1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332E-93A3-45F4-8396-D7BB3D18FAC3}">
  <sheetPr>
    <tabColor theme="4"/>
  </sheetPr>
  <dimension ref="A1:E19"/>
  <sheetViews>
    <sheetView showGridLines="0" zoomScale="115" zoomScaleNormal="115" workbookViewId="0">
      <selection activeCell="D36" sqref="D36"/>
    </sheetView>
  </sheetViews>
  <sheetFormatPr defaultRowHeight="14.4" x14ac:dyDescent="0.55000000000000004"/>
  <cols>
    <col min="1" max="1" width="1.68359375" customWidth="1"/>
    <col min="2" max="2" width="3.68359375" customWidth="1"/>
    <col min="3" max="3" width="14.5234375" customWidth="1"/>
    <col min="4" max="4" width="29.68359375" customWidth="1"/>
    <col min="5" max="5" width="14.89453125" customWidth="1"/>
    <col min="6" max="6" width="7.89453125" customWidth="1"/>
  </cols>
  <sheetData>
    <row r="1" spans="1:5" s="1" customFormat="1" ht="52.5" customHeight="1" x14ac:dyDescent="0.55000000000000004">
      <c r="A1" s="22"/>
      <c r="C1" s="2" t="s">
        <v>37</v>
      </c>
    </row>
    <row r="4" spans="1:5" x14ac:dyDescent="0.55000000000000004">
      <c r="C4" t="s">
        <v>5</v>
      </c>
      <c r="D4" t="s">
        <v>6</v>
      </c>
      <c r="E4" t="s">
        <v>22</v>
      </c>
    </row>
    <row r="5" spans="1:5" x14ac:dyDescent="0.55000000000000004">
      <c r="C5" s="21">
        <v>46038</v>
      </c>
      <c r="D5" t="s">
        <v>87</v>
      </c>
      <c r="E5" t="s">
        <v>16</v>
      </c>
    </row>
    <row r="6" spans="1:5" x14ac:dyDescent="0.55000000000000004">
      <c r="C6" s="21">
        <v>46043</v>
      </c>
      <c r="D6" t="s">
        <v>24</v>
      </c>
      <c r="E6" t="s">
        <v>18</v>
      </c>
    </row>
    <row r="7" spans="1:5" x14ac:dyDescent="0.55000000000000004">
      <c r="C7" s="21">
        <v>46048</v>
      </c>
      <c r="D7" t="s">
        <v>61</v>
      </c>
      <c r="E7" t="s">
        <v>26</v>
      </c>
    </row>
    <row r="8" spans="1:5" x14ac:dyDescent="0.55000000000000004">
      <c r="C8" s="21">
        <v>46059</v>
      </c>
      <c r="D8" t="s">
        <v>88</v>
      </c>
      <c r="E8" t="s">
        <v>16</v>
      </c>
    </row>
    <row r="9" spans="1:5" x14ac:dyDescent="0.55000000000000004">
      <c r="C9" s="21">
        <v>46067</v>
      </c>
      <c r="D9" t="s">
        <v>62</v>
      </c>
      <c r="E9" t="s">
        <v>19</v>
      </c>
    </row>
    <row r="10" spans="1:5" x14ac:dyDescent="0.55000000000000004">
      <c r="C10" s="21">
        <v>46082</v>
      </c>
      <c r="D10" t="s">
        <v>63</v>
      </c>
      <c r="E10" t="s">
        <v>17</v>
      </c>
    </row>
    <row r="11" spans="1:5" x14ac:dyDescent="0.55000000000000004">
      <c r="C11" s="21">
        <v>46084</v>
      </c>
      <c r="D11" t="s">
        <v>64</v>
      </c>
      <c r="E11" t="s">
        <v>21</v>
      </c>
    </row>
    <row r="12" spans="1:5" x14ac:dyDescent="0.55000000000000004">
      <c r="C12" s="21">
        <v>46122</v>
      </c>
      <c r="D12" t="s">
        <v>65</v>
      </c>
      <c r="E12" t="s">
        <v>23</v>
      </c>
    </row>
    <row r="13" spans="1:5" x14ac:dyDescent="0.55000000000000004">
      <c r="C13" s="21">
        <v>46042</v>
      </c>
      <c r="D13" t="s">
        <v>89</v>
      </c>
      <c r="E13" t="s">
        <v>16</v>
      </c>
    </row>
    <row r="14" spans="1:5" x14ac:dyDescent="0.55000000000000004">
      <c r="C14" s="21">
        <v>46037</v>
      </c>
      <c r="D14" t="s">
        <v>68</v>
      </c>
      <c r="E14" t="s">
        <v>19</v>
      </c>
    </row>
    <row r="15" spans="1:5" x14ac:dyDescent="0.55000000000000004">
      <c r="C15" s="21">
        <v>46037</v>
      </c>
      <c r="D15" t="s">
        <v>69</v>
      </c>
      <c r="E15" t="s">
        <v>23</v>
      </c>
    </row>
    <row r="16" spans="1:5" x14ac:dyDescent="0.55000000000000004">
      <c r="C16" s="21">
        <v>46101</v>
      </c>
      <c r="D16" t="s">
        <v>90</v>
      </c>
      <c r="E16" t="s">
        <v>16</v>
      </c>
    </row>
    <row r="17" spans="3:5" x14ac:dyDescent="0.55000000000000004">
      <c r="C17" s="21">
        <v>46255</v>
      </c>
      <c r="D17" t="s">
        <v>70</v>
      </c>
      <c r="E17" t="s">
        <v>18</v>
      </c>
    </row>
    <row r="18" spans="3:5" x14ac:dyDescent="0.55000000000000004">
      <c r="C18" s="21">
        <v>46136</v>
      </c>
      <c r="D18" t="s">
        <v>72</v>
      </c>
      <c r="E18" t="s">
        <v>17</v>
      </c>
    </row>
    <row r="19" spans="3:5" x14ac:dyDescent="0.55000000000000004">
      <c r="C19" s="21">
        <v>46044</v>
      </c>
      <c r="D19" t="s">
        <v>91</v>
      </c>
      <c r="E19" t="s">
        <v>16</v>
      </c>
    </row>
  </sheetData>
  <dataValidations count="1">
    <dataValidation type="list" allowBlank="1" showInputMessage="1" showErrorMessage="1" sqref="E5:E19" xr:uid="{E49C7543-1A72-48EB-87F6-CF3FE3D725F6}">
      <formula1>icon_types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7CC5-69D3-432B-9C1E-D9C37C868938}">
  <dimension ref="A1:K29"/>
  <sheetViews>
    <sheetView tabSelected="1" zoomScale="145" zoomScaleNormal="145" workbookViewId="0">
      <selection activeCell="D13" sqref="D13"/>
    </sheetView>
  </sheetViews>
  <sheetFormatPr defaultRowHeight="14.4" x14ac:dyDescent="0.55000000000000004"/>
  <cols>
    <col min="1" max="1" width="1.5234375" customWidth="1"/>
    <col min="2" max="2" width="22.1015625" bestFit="1" customWidth="1"/>
    <col min="3" max="3" width="7.68359375" customWidth="1"/>
    <col min="4" max="4" width="45.68359375" bestFit="1" customWidth="1"/>
    <col min="5" max="5" width="3" customWidth="1"/>
    <col min="7" max="7" width="13.3125" bestFit="1" customWidth="1"/>
    <col min="8" max="9" width="4.3125" customWidth="1"/>
    <col min="10" max="10" width="11.1015625" bestFit="1" customWidth="1"/>
    <col min="11" max="11" width="25" bestFit="1" customWidth="1"/>
  </cols>
  <sheetData>
    <row r="1" spans="1:11" s="1" customFormat="1" ht="52.5" customHeight="1" x14ac:dyDescent="0.55000000000000004">
      <c r="A1" s="8"/>
      <c r="B1" s="2" t="s">
        <v>39</v>
      </c>
    </row>
    <row r="3" spans="1:11" x14ac:dyDescent="0.55000000000000004">
      <c r="F3" t="s">
        <v>8</v>
      </c>
      <c r="J3" t="s">
        <v>27</v>
      </c>
    </row>
    <row r="4" spans="1:11" x14ac:dyDescent="0.55000000000000004">
      <c r="B4" s="23" t="s">
        <v>0</v>
      </c>
      <c r="C4" s="30">
        <v>2026</v>
      </c>
      <c r="D4" s="31" t="s">
        <v>42</v>
      </c>
      <c r="F4" t="s">
        <v>7</v>
      </c>
      <c r="G4" t="s">
        <v>22</v>
      </c>
      <c r="J4" t="s">
        <v>5</v>
      </c>
      <c r="K4" t="s">
        <v>28</v>
      </c>
    </row>
    <row r="5" spans="1:11" x14ac:dyDescent="0.55000000000000004">
      <c r="B5" s="23" t="s">
        <v>1</v>
      </c>
      <c r="C5" s="30">
        <v>1</v>
      </c>
      <c r="D5" s="31" t="s">
        <v>2</v>
      </c>
      <c r="F5" t="s">
        <v>13</v>
      </c>
      <c r="G5" t="s">
        <v>18</v>
      </c>
      <c r="J5" s="21">
        <v>46023</v>
      </c>
      <c r="K5" t="s">
        <v>51</v>
      </c>
    </row>
    <row r="6" spans="1:11" x14ac:dyDescent="0.55000000000000004">
      <c r="B6" s="23" t="s">
        <v>4</v>
      </c>
      <c r="C6" s="30">
        <v>1</v>
      </c>
      <c r="D6" s="31" t="s">
        <v>41</v>
      </c>
      <c r="F6" t="s">
        <v>15</v>
      </c>
      <c r="G6" t="s">
        <v>20</v>
      </c>
      <c r="J6" s="21">
        <v>46024</v>
      </c>
      <c r="K6" t="s">
        <v>78</v>
      </c>
    </row>
    <row r="7" spans="1:11" x14ac:dyDescent="0.55000000000000004">
      <c r="B7" s="23" t="s">
        <v>40</v>
      </c>
      <c r="C7" s="30" t="s">
        <v>30</v>
      </c>
      <c r="D7" s="32"/>
      <c r="F7" t="s">
        <v>11</v>
      </c>
      <c r="G7" t="s">
        <v>17</v>
      </c>
      <c r="J7" s="21">
        <v>46041</v>
      </c>
      <c r="K7" t="s">
        <v>52</v>
      </c>
    </row>
    <row r="8" spans="1:11" x14ac:dyDescent="0.55000000000000004">
      <c r="F8" t="s">
        <v>14</v>
      </c>
      <c r="G8" t="s">
        <v>19</v>
      </c>
      <c r="J8" s="21">
        <v>46048</v>
      </c>
      <c r="K8" t="s">
        <v>85</v>
      </c>
    </row>
    <row r="9" spans="1:11" x14ac:dyDescent="0.55000000000000004">
      <c r="F9" t="s">
        <v>10</v>
      </c>
      <c r="G9" t="s">
        <v>16</v>
      </c>
      <c r="J9" s="21">
        <v>46059</v>
      </c>
      <c r="K9" t="s">
        <v>77</v>
      </c>
    </row>
    <row r="10" spans="1:11" x14ac:dyDescent="0.55000000000000004">
      <c r="F10" t="s">
        <v>9</v>
      </c>
      <c r="G10" t="s">
        <v>21</v>
      </c>
      <c r="J10" s="21">
        <v>46069</v>
      </c>
      <c r="K10" t="s">
        <v>53</v>
      </c>
    </row>
    <row r="11" spans="1:11" x14ac:dyDescent="0.55000000000000004">
      <c r="F11" t="s">
        <v>12</v>
      </c>
      <c r="G11" t="s">
        <v>23</v>
      </c>
      <c r="J11" s="21">
        <v>46085</v>
      </c>
      <c r="K11" t="s">
        <v>86</v>
      </c>
    </row>
    <row r="12" spans="1:11" x14ac:dyDescent="0.55000000000000004">
      <c r="F12" t="s">
        <v>25</v>
      </c>
      <c r="G12" t="s">
        <v>26</v>
      </c>
      <c r="J12" s="21">
        <v>46115</v>
      </c>
      <c r="K12" t="s">
        <v>74</v>
      </c>
    </row>
    <row r="13" spans="1:11" x14ac:dyDescent="0.55000000000000004">
      <c r="J13" s="21">
        <v>46118</v>
      </c>
      <c r="K13" t="s">
        <v>73</v>
      </c>
    </row>
    <row r="14" spans="1:11" x14ac:dyDescent="0.55000000000000004">
      <c r="J14" s="21">
        <v>46139</v>
      </c>
      <c r="K14" t="s">
        <v>79</v>
      </c>
    </row>
    <row r="15" spans="1:11" x14ac:dyDescent="0.55000000000000004">
      <c r="J15" s="21">
        <v>46167</v>
      </c>
      <c r="K15" t="s">
        <v>54</v>
      </c>
    </row>
    <row r="16" spans="1:11" x14ac:dyDescent="0.55000000000000004">
      <c r="J16" s="21">
        <v>46174</v>
      </c>
      <c r="K16" t="s">
        <v>80</v>
      </c>
    </row>
    <row r="17" spans="10:11" x14ac:dyDescent="0.55000000000000004">
      <c r="J17" s="21">
        <v>46192</v>
      </c>
      <c r="K17" t="s">
        <v>55</v>
      </c>
    </row>
    <row r="18" spans="10:11" x14ac:dyDescent="0.55000000000000004">
      <c r="J18" s="21">
        <v>46207</v>
      </c>
      <c r="K18" t="s">
        <v>56</v>
      </c>
    </row>
    <row r="19" spans="10:11" x14ac:dyDescent="0.55000000000000004">
      <c r="J19" s="21">
        <v>46213</v>
      </c>
      <c r="K19" t="s">
        <v>81</v>
      </c>
    </row>
    <row r="20" spans="10:11" x14ac:dyDescent="0.55000000000000004">
      <c r="J20" s="21">
        <v>46272</v>
      </c>
      <c r="K20" t="s">
        <v>57</v>
      </c>
    </row>
    <row r="21" spans="10:11" x14ac:dyDescent="0.55000000000000004">
      <c r="J21" s="21">
        <v>46297</v>
      </c>
      <c r="K21" t="s">
        <v>84</v>
      </c>
    </row>
    <row r="22" spans="10:11" x14ac:dyDescent="0.55000000000000004">
      <c r="J22" s="21">
        <v>46307</v>
      </c>
      <c r="K22" t="s">
        <v>58</v>
      </c>
    </row>
    <row r="23" spans="10:11" x14ac:dyDescent="0.55000000000000004">
      <c r="J23" s="21">
        <v>46321</v>
      </c>
      <c r="K23" t="s">
        <v>76</v>
      </c>
    </row>
    <row r="24" spans="10:11" x14ac:dyDescent="0.55000000000000004">
      <c r="J24" s="21">
        <v>46334</v>
      </c>
      <c r="K24" t="s">
        <v>83</v>
      </c>
    </row>
    <row r="25" spans="10:11" x14ac:dyDescent="0.55000000000000004">
      <c r="J25" s="21">
        <v>46337</v>
      </c>
      <c r="K25" t="s">
        <v>59</v>
      </c>
    </row>
    <row r="26" spans="10:11" x14ac:dyDescent="0.55000000000000004">
      <c r="J26" s="21">
        <v>46352</v>
      </c>
      <c r="K26" t="s">
        <v>60</v>
      </c>
    </row>
    <row r="27" spans="10:11" x14ac:dyDescent="0.55000000000000004">
      <c r="J27" s="21">
        <v>46381</v>
      </c>
      <c r="K27" t="s">
        <v>29</v>
      </c>
    </row>
    <row r="28" spans="10:11" x14ac:dyDescent="0.55000000000000004">
      <c r="J28" s="21">
        <v>46384</v>
      </c>
      <c r="K28" t="s">
        <v>75</v>
      </c>
    </row>
    <row r="29" spans="10:11" x14ac:dyDescent="0.55000000000000004">
      <c r="J29" s="21">
        <v>46249</v>
      </c>
      <c r="K29" t="s">
        <v>82</v>
      </c>
    </row>
  </sheetData>
  <dataValidations count="1">
    <dataValidation type="list" allowBlank="1" showInputMessage="1" showErrorMessage="1" sqref="C7" xr:uid="{AF06E0B4-6F8C-4851-9DE2-195ECCFB2B12}">
      <formula1>"Yes, No"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C3CA-E625-4F2E-A29D-F1C9D9079E39}">
  <dimension ref="A1:AY202"/>
  <sheetViews>
    <sheetView workbookViewId="0">
      <selection activeCell="S10" sqref="S10"/>
    </sheetView>
  </sheetViews>
  <sheetFormatPr defaultRowHeight="14.4" x14ac:dyDescent="0.55000000000000004"/>
  <cols>
    <col min="1" max="2" width="1.89453125" customWidth="1"/>
    <col min="4" max="7" width="9.89453125" bestFit="1" customWidth="1"/>
    <col min="8" max="8" width="22.3125" bestFit="1" customWidth="1"/>
    <col min="9" max="10" width="9.89453125" bestFit="1" customWidth="1"/>
    <col min="14" max="14" width="16.5234375" bestFit="1" customWidth="1"/>
    <col min="15" max="15" width="29.1015625" bestFit="1" customWidth="1"/>
    <col min="16" max="16" width="13.3125" bestFit="1" customWidth="1"/>
    <col min="17" max="17" width="3.89453125" customWidth="1"/>
    <col min="19" max="19" width="36" bestFit="1" customWidth="1"/>
    <col min="26" max="26" width="13.89453125" bestFit="1" customWidth="1"/>
    <col min="36" max="37" width="9.68359375" bestFit="1" customWidth="1"/>
    <col min="38" max="42" width="9.3125" bestFit="1" customWidth="1"/>
    <col min="44" max="50" width="9.68359375" bestFit="1" customWidth="1"/>
  </cols>
  <sheetData>
    <row r="1" spans="1:51" s="1" customFormat="1" ht="52.5" customHeight="1" x14ac:dyDescent="0.55000000000000004">
      <c r="A1" s="8"/>
      <c r="C1" s="2" t="s">
        <v>50</v>
      </c>
    </row>
    <row r="8" spans="1:51" x14ac:dyDescent="0.55000000000000004">
      <c r="C8">
        <v>1</v>
      </c>
      <c r="E8" s="3">
        <f>DATE(cal.year,C8,1)</f>
        <v>46023</v>
      </c>
      <c r="F8">
        <v>4</v>
      </c>
      <c r="H8" s="4">
        <f>E8</f>
        <v>46023</v>
      </c>
      <c r="N8" t="s">
        <v>32</v>
      </c>
      <c r="O8" s="3">
        <f ca="1">TODAY()</f>
        <v>46147</v>
      </c>
    </row>
    <row r="9" spans="1:51" x14ac:dyDescent="0.55000000000000004">
      <c r="E9" t="s">
        <v>3</v>
      </c>
      <c r="H9" s="3">
        <f>E8-F8+1</f>
        <v>46020</v>
      </c>
      <c r="AJ9" t="s">
        <v>67</v>
      </c>
      <c r="AS9" t="s">
        <v>71</v>
      </c>
    </row>
    <row r="10" spans="1:51" x14ac:dyDescent="0.55000000000000004">
      <c r="N10" t="s">
        <v>33</v>
      </c>
      <c r="R10" t="s">
        <v>36</v>
      </c>
      <c r="V10" t="s">
        <v>43</v>
      </c>
      <c r="Z10" t="s">
        <v>45</v>
      </c>
      <c r="AA10" s="35">
        <f>'Any Month'!C3</f>
        <v>4</v>
      </c>
    </row>
    <row r="12" spans="1:51" x14ac:dyDescent="0.55000000000000004">
      <c r="D12" t="e">
        <f ca="1">TEXT(D13,"DDD")</f>
        <v>#NAME?</v>
      </c>
      <c r="E12" t="e">
        <f t="shared" ref="E12:J12" ca="1" si="0">TEXT(E13,"DDD")</f>
        <v>#NAME?</v>
      </c>
      <c r="F12" t="e">
        <f t="shared" ca="1" si="0"/>
        <v>#NAME?</v>
      </c>
      <c r="G12" t="e">
        <f t="shared" ca="1" si="0"/>
        <v>#NAME?</v>
      </c>
      <c r="H12" t="e">
        <f t="shared" ca="1" si="0"/>
        <v>#NAME?</v>
      </c>
      <c r="I12" t="e">
        <f t="shared" ca="1" si="0"/>
        <v>#NAME?</v>
      </c>
      <c r="J12" t="e">
        <f t="shared" ca="1" si="0"/>
        <v>#NAME?</v>
      </c>
      <c r="K12" t="s">
        <v>38</v>
      </c>
      <c r="N12" t="s">
        <v>5</v>
      </c>
      <c r="O12" t="s">
        <v>6</v>
      </c>
      <c r="P12" t="s">
        <v>22</v>
      </c>
      <c r="R12" t="s">
        <v>34</v>
      </c>
      <c r="S12" t="s">
        <v>35</v>
      </c>
      <c r="V12" s="33" t="s">
        <v>44</v>
      </c>
      <c r="Z12" t="s">
        <v>46</v>
      </c>
    </row>
    <row r="13" spans="1:51" x14ac:dyDescent="0.55000000000000004">
      <c r="C13" s="6">
        <v>1</v>
      </c>
      <c r="D13" s="7" t="e" cm="1">
        <f t="array" aca="1" ref="D13:J18" ca="1">_xlfn.LET(_xlpm.mStart, DATE(cal.year, C13, 1), _xlpm.wDay, WEEKDAY(_xlpm.mStart, 10+week.start), _xlfn.SEQUENCE(6,7,_xlpm.mStart-_xlpm.wDay+1))</f>
        <v>#NAME?</v>
      </c>
      <c r="E13" s="5" t="e">
        <f ca="1"/>
        <v>#NAME?</v>
      </c>
      <c r="F13" s="5" t="e">
        <f ca="1"/>
        <v>#NAME?</v>
      </c>
      <c r="G13" s="5" t="e">
        <f ca="1"/>
        <v>#NAME?</v>
      </c>
      <c r="H13" s="5" t="e">
        <f ca="1"/>
        <v>#NAME?</v>
      </c>
      <c r="I13" s="5" t="e">
        <f ca="1"/>
        <v>#NAME?</v>
      </c>
      <c r="J13" s="5" t="e">
        <f ca="1"/>
        <v>#NAME?</v>
      </c>
      <c r="K13" t="e">
        <f t="shared" ref="K13:K44" ca="1" si="1">WEEKNUM(D13,10+week.start)</f>
        <v>#NAME?</v>
      </c>
      <c r="N13" s="21" t="e" cm="1">
        <f t="array" aca="1" ref="N13:P27" ca="1">_xlfn._xlws.SORT(_xlfn._xlws.FILTER(Plan[], Plan[Date]&gt;=O8),1)</f>
        <v>#NAME?</v>
      </c>
      <c r="O13" t="e">
        <f ca="1"/>
        <v>#NAME?</v>
      </c>
      <c r="P13" t="e">
        <f ca="1"/>
        <v>#NAME?</v>
      </c>
      <c r="R13" s="23" t="e">
        <f ca="1">_xlfn.XLOOKUP(P13,icons[Type],icons[Icon],"")</f>
        <v>#NAME?</v>
      </c>
      <c r="S13" s="23" t="str">
        <f ca="1">IFERROR(IF(N13=0,"",TEXT(N13,"d-mmm")&amp;": "&amp;O13),"No upcoming activities")</f>
        <v>No upcoming activities</v>
      </c>
      <c r="V13" s="23" cm="1">
        <f t="array" ref="V13:V24">_xlfn.SEQUENCE(12)</f>
        <v>1</v>
      </c>
      <c r="Z13" s="36" t="e" cm="1">
        <f t="array" aca="1" ref="Z13:AF18" ca="1">_xlfn.LET(_xlpm.dt, _xlfn._xlws.FILTER(monthly.calendar, month.nums=AA10), IF(MONTH(_xlpm.dt)&lt;&gt;AA10,"",_xlpm.dt))</f>
        <v>#NAME?</v>
      </c>
      <c r="AA13" s="36" t="e">
        <f ca="1"/>
        <v>#NAME?</v>
      </c>
      <c r="AB13" s="36" t="e">
        <f ca="1"/>
        <v>#NAME?</v>
      </c>
      <c r="AC13" s="36" t="e">
        <f ca="1"/>
        <v>#NAME?</v>
      </c>
      <c r="AD13" s="36" t="e">
        <f ca="1"/>
        <v>#NAME?</v>
      </c>
      <c r="AE13" s="36" t="e">
        <f ca="1"/>
        <v>#NAME?</v>
      </c>
      <c r="AF13" s="36" t="e">
        <f ca="1"/>
        <v>#NAME?</v>
      </c>
      <c r="AI13" s="45">
        <v>1</v>
      </c>
      <c r="AJ13" s="46" t="e" cm="1">
        <f t="array" aca="1" ref="AJ13:AP18" ca="1">_xlfn.LET(_xlpm.dt, _xlfn._xlws.FILTER(monthly.calendar, month.nums=AI13), IF(MONTH(_xlpm.dt)&lt;&gt;AI13,"",_xlpm.dt))</f>
        <v>#NAME?</v>
      </c>
      <c r="AK13" s="46" t="e">
        <f ca="1"/>
        <v>#NAME?</v>
      </c>
      <c r="AL13" s="46" t="e">
        <f ca="1"/>
        <v>#NAME?</v>
      </c>
      <c r="AM13" s="46" t="e">
        <f ca="1"/>
        <v>#NAME?</v>
      </c>
      <c r="AN13" s="46" t="e">
        <f ca="1"/>
        <v>#NAME?</v>
      </c>
      <c r="AO13" s="46" t="e">
        <f ca="1"/>
        <v>#NAME?</v>
      </c>
      <c r="AP13" s="46" t="e">
        <f ca="1"/>
        <v>#NAME?</v>
      </c>
      <c r="AQ13" s="44"/>
      <c r="AS13" s="46" t="e" cm="1">
        <f t="array" aca="1" ref="AS13:AY24" ca="1">_xlfn.WRAPROWS(_xlfn.TOCOL(_xlfn.HSTACK(_xlfn.ANCHORARRAY(AJ13),_xlfn.ANCHORARRAY(AJ21))),7)</f>
        <v>#NAME?</v>
      </c>
      <c r="AT13" s="46" t="e">
        <f ca="1"/>
        <v>#NAME?</v>
      </c>
      <c r="AU13" s="46" t="e">
        <f ca="1"/>
        <v>#NAME?</v>
      </c>
      <c r="AV13" s="46" t="e">
        <f ca="1"/>
        <v>#NAME?</v>
      </c>
      <c r="AW13" s="46" t="e">
        <f ca="1"/>
        <v>#NAME?</v>
      </c>
      <c r="AX13" s="46" t="e">
        <f ca="1"/>
        <v>#NAME?</v>
      </c>
      <c r="AY13" s="46" t="e">
        <f ca="1"/>
        <v>#NAME?</v>
      </c>
    </row>
    <row r="14" spans="1:51" x14ac:dyDescent="0.55000000000000004">
      <c r="C14" s="6">
        <f>C13</f>
        <v>1</v>
      </c>
      <c r="D14" s="5" t="e">
        <f ca="1"/>
        <v>#NAME?</v>
      </c>
      <c r="E14" s="5" t="e">
        <f ca="1"/>
        <v>#NAME?</v>
      </c>
      <c r="F14" s="5" t="e">
        <f ca="1"/>
        <v>#NAME?</v>
      </c>
      <c r="G14" s="5" t="e">
        <f ca="1"/>
        <v>#NAME?</v>
      </c>
      <c r="H14" s="5" t="e">
        <f ca="1"/>
        <v>#NAME?</v>
      </c>
      <c r="I14" s="5" t="e">
        <f ca="1"/>
        <v>#NAME?</v>
      </c>
      <c r="J14" s="5" t="e">
        <f ca="1"/>
        <v>#NAME?</v>
      </c>
      <c r="K14" t="e">
        <f t="shared" ca="1" si="1"/>
        <v>#NAME?</v>
      </c>
      <c r="N14" s="21" t="e">
        <f ca="1"/>
        <v>#NAME?</v>
      </c>
      <c r="O14" t="e">
        <f ca="1"/>
        <v>#NAME?</v>
      </c>
      <c r="P14" t="e">
        <f ca="1"/>
        <v>#NAME?</v>
      </c>
      <c r="R14" s="23" t="e">
        <f ca="1">_xlfn.XLOOKUP(P14,icons[Type],icons[Icon],"")</f>
        <v>#NAME?</v>
      </c>
      <c r="S14" s="23" t="e">
        <f t="shared" ref="S14:S23" ca="1" si="2">IF(N14=0,"",TEXT(N14,"d-mmm")&amp;": "&amp;O14)</f>
        <v>#NAME?</v>
      </c>
      <c r="V14" s="23">
        <v>2</v>
      </c>
      <c r="Z14" s="36" t="e">
        <f ca="1"/>
        <v>#NAME?</v>
      </c>
      <c r="AA14" s="36" t="e">
        <f ca="1"/>
        <v>#NAME?</v>
      </c>
      <c r="AB14" s="36" t="e">
        <f ca="1"/>
        <v>#NAME?</v>
      </c>
      <c r="AC14" s="36" t="e">
        <f ca="1"/>
        <v>#NAME?</v>
      </c>
      <c r="AD14" s="36" t="e">
        <f ca="1"/>
        <v>#NAME?</v>
      </c>
      <c r="AE14" s="36" t="e">
        <f ca="1"/>
        <v>#NAME?</v>
      </c>
      <c r="AF14" s="36" t="e">
        <f ca="1"/>
        <v>#NAME?</v>
      </c>
      <c r="AJ14" s="46" t="e">
        <f ca="1"/>
        <v>#NAME?</v>
      </c>
      <c r="AK14" s="46" t="e">
        <f ca="1"/>
        <v>#NAME?</v>
      </c>
      <c r="AL14" s="46" t="e">
        <f ca="1"/>
        <v>#NAME?</v>
      </c>
      <c r="AM14" s="46" t="e">
        <f ca="1"/>
        <v>#NAME?</v>
      </c>
      <c r="AN14" s="46" t="e">
        <f ca="1"/>
        <v>#NAME?</v>
      </c>
      <c r="AO14" s="46" t="e">
        <f ca="1"/>
        <v>#NAME?</v>
      </c>
      <c r="AP14" s="46" t="e">
        <f ca="1"/>
        <v>#NAME?</v>
      </c>
      <c r="AQ14" s="44"/>
      <c r="AS14" s="47" t="e">
        <f ca="1"/>
        <v>#NAME?</v>
      </c>
      <c r="AT14" s="47" t="e">
        <f ca="1"/>
        <v>#NAME?</v>
      </c>
      <c r="AU14" s="47" t="e">
        <f ca="1"/>
        <v>#NAME?</v>
      </c>
      <c r="AV14" s="47" t="e">
        <f ca="1"/>
        <v>#NAME?</v>
      </c>
      <c r="AW14" s="47" t="e">
        <f ca="1"/>
        <v>#NAME?</v>
      </c>
      <c r="AX14" s="47" t="e">
        <f ca="1"/>
        <v>#NAME?</v>
      </c>
      <c r="AY14" s="47" t="e">
        <f ca="1"/>
        <v>#NAME?</v>
      </c>
    </row>
    <row r="15" spans="1:51" x14ac:dyDescent="0.55000000000000004">
      <c r="C15" s="6">
        <f t="shared" ref="C15:C18" si="3">C14</f>
        <v>1</v>
      </c>
      <c r="D15" s="5" t="e">
        <f ca="1"/>
        <v>#NAME?</v>
      </c>
      <c r="E15" s="5" t="e">
        <f ca="1"/>
        <v>#NAME?</v>
      </c>
      <c r="F15" s="5" t="e">
        <f ca="1"/>
        <v>#NAME?</v>
      </c>
      <c r="G15" s="5" t="e">
        <f ca="1"/>
        <v>#NAME?</v>
      </c>
      <c r="H15" s="5" t="e">
        <f ca="1"/>
        <v>#NAME?</v>
      </c>
      <c r="I15" s="5" t="e">
        <f ca="1"/>
        <v>#NAME?</v>
      </c>
      <c r="J15" s="5" t="e">
        <f ca="1"/>
        <v>#NAME?</v>
      </c>
      <c r="K15" t="e">
        <f t="shared" ca="1" si="1"/>
        <v>#NAME?</v>
      </c>
      <c r="N15" s="21" t="e">
        <f ca="1"/>
        <v>#NAME?</v>
      </c>
      <c r="O15" t="e">
        <f ca="1"/>
        <v>#NAME?</v>
      </c>
      <c r="P15" t="e">
        <f ca="1"/>
        <v>#NAME?</v>
      </c>
      <c r="R15" s="23" t="e">
        <f ca="1">_xlfn.XLOOKUP(P15,icons[Type],icons[Icon],"")</f>
        <v>#NAME?</v>
      </c>
      <c r="S15" s="23" t="e">
        <f t="shared" ca="1" si="2"/>
        <v>#NAME?</v>
      </c>
      <c r="V15" s="23">
        <v>3</v>
      </c>
      <c r="Z15" s="36" t="e">
        <f ca="1"/>
        <v>#NAME?</v>
      </c>
      <c r="AA15" s="36" t="e">
        <f ca="1"/>
        <v>#NAME?</v>
      </c>
      <c r="AB15" s="36" t="e">
        <f ca="1"/>
        <v>#NAME?</v>
      </c>
      <c r="AC15" s="36" t="e">
        <f ca="1"/>
        <v>#NAME?</v>
      </c>
      <c r="AD15" s="36" t="e">
        <f ca="1"/>
        <v>#NAME?</v>
      </c>
      <c r="AE15" s="36" t="e">
        <f ca="1"/>
        <v>#NAME?</v>
      </c>
      <c r="AF15" s="36" t="e">
        <f ca="1"/>
        <v>#NAME?</v>
      </c>
      <c r="AJ15" s="46" t="e">
        <f ca="1"/>
        <v>#NAME?</v>
      </c>
      <c r="AK15" s="46" t="e">
        <f ca="1"/>
        <v>#NAME?</v>
      </c>
      <c r="AL15" s="46" t="e">
        <f ca="1"/>
        <v>#NAME?</v>
      </c>
      <c r="AM15" s="46" t="e">
        <f ca="1"/>
        <v>#NAME?</v>
      </c>
      <c r="AN15" s="46" t="e">
        <f ca="1"/>
        <v>#NAME?</v>
      </c>
      <c r="AO15" s="46" t="e">
        <f ca="1"/>
        <v>#NAME?</v>
      </c>
      <c r="AP15" s="46" t="e">
        <f ca="1"/>
        <v>#NAME?</v>
      </c>
      <c r="AQ15" s="44"/>
      <c r="AS15" s="46" t="e">
        <f ca="1"/>
        <v>#NAME?</v>
      </c>
      <c r="AT15" s="46" t="e">
        <f ca="1"/>
        <v>#NAME?</v>
      </c>
      <c r="AU15" s="46" t="e">
        <f ca="1"/>
        <v>#NAME?</v>
      </c>
      <c r="AV15" s="46" t="e">
        <f ca="1"/>
        <v>#NAME?</v>
      </c>
      <c r="AW15" s="46" t="e">
        <f ca="1"/>
        <v>#NAME?</v>
      </c>
      <c r="AX15" s="46" t="e">
        <f ca="1"/>
        <v>#NAME?</v>
      </c>
      <c r="AY15" s="46" t="e">
        <f ca="1"/>
        <v>#NAME?</v>
      </c>
    </row>
    <row r="16" spans="1:51" x14ac:dyDescent="0.55000000000000004">
      <c r="C16" s="6">
        <f t="shared" si="3"/>
        <v>1</v>
      </c>
      <c r="D16" s="5" t="e">
        <f ca="1"/>
        <v>#NAME?</v>
      </c>
      <c r="E16" s="5" t="e">
        <f ca="1"/>
        <v>#NAME?</v>
      </c>
      <c r="F16" s="5" t="e">
        <f ca="1"/>
        <v>#NAME?</v>
      </c>
      <c r="G16" s="5" t="e">
        <f ca="1"/>
        <v>#NAME?</v>
      </c>
      <c r="H16" s="5" t="e">
        <f ca="1"/>
        <v>#NAME?</v>
      </c>
      <c r="I16" s="5" t="e">
        <f ca="1"/>
        <v>#NAME?</v>
      </c>
      <c r="J16" s="5" t="e">
        <f ca="1"/>
        <v>#NAME?</v>
      </c>
      <c r="K16" t="e">
        <f t="shared" ca="1" si="1"/>
        <v>#NAME?</v>
      </c>
      <c r="N16" s="21" t="e">
        <f ca="1"/>
        <v>#NAME?</v>
      </c>
      <c r="O16" t="e">
        <f ca="1"/>
        <v>#NAME?</v>
      </c>
      <c r="P16" t="e">
        <f ca="1"/>
        <v>#NAME?</v>
      </c>
      <c r="R16" s="23" t="e">
        <f ca="1">_xlfn.XLOOKUP(P16,icons[Type],icons[Icon],"")</f>
        <v>#NAME?</v>
      </c>
      <c r="S16" s="23" t="e">
        <f t="shared" ca="1" si="2"/>
        <v>#NAME?</v>
      </c>
      <c r="V16" s="23">
        <v>4</v>
      </c>
      <c r="Z16" s="36" t="e">
        <f ca="1"/>
        <v>#NAME?</v>
      </c>
      <c r="AA16" s="36" t="e">
        <f ca="1"/>
        <v>#NAME?</v>
      </c>
      <c r="AB16" s="36" t="e">
        <f ca="1"/>
        <v>#NAME?</v>
      </c>
      <c r="AC16" s="36" t="e">
        <f ca="1"/>
        <v>#NAME?</v>
      </c>
      <c r="AD16" s="36" t="e">
        <f ca="1"/>
        <v>#NAME?</v>
      </c>
      <c r="AE16" s="36" t="e">
        <f ca="1"/>
        <v>#NAME?</v>
      </c>
      <c r="AF16" s="36" t="e">
        <f ca="1"/>
        <v>#NAME?</v>
      </c>
      <c r="AJ16" s="46" t="e">
        <f ca="1"/>
        <v>#NAME?</v>
      </c>
      <c r="AK16" s="46" t="e">
        <f ca="1"/>
        <v>#NAME?</v>
      </c>
      <c r="AL16" s="46" t="e">
        <f ca="1"/>
        <v>#NAME?</v>
      </c>
      <c r="AM16" s="46" t="e">
        <f ca="1"/>
        <v>#NAME?</v>
      </c>
      <c r="AN16" s="46" t="e">
        <f ca="1"/>
        <v>#NAME?</v>
      </c>
      <c r="AO16" s="46" t="e">
        <f ca="1"/>
        <v>#NAME?</v>
      </c>
      <c r="AP16" s="46" t="e">
        <f ca="1"/>
        <v>#NAME?</v>
      </c>
      <c r="AQ16" s="44"/>
      <c r="AS16" s="47" t="e">
        <f ca="1"/>
        <v>#NAME?</v>
      </c>
      <c r="AT16" s="47" t="e">
        <f ca="1"/>
        <v>#NAME?</v>
      </c>
      <c r="AU16" s="47" t="e">
        <f ca="1"/>
        <v>#NAME?</v>
      </c>
      <c r="AV16" s="47" t="e">
        <f ca="1"/>
        <v>#NAME?</v>
      </c>
      <c r="AW16" s="47" t="e">
        <f ca="1"/>
        <v>#NAME?</v>
      </c>
      <c r="AX16" s="47" t="e">
        <f ca="1"/>
        <v>#NAME?</v>
      </c>
      <c r="AY16" s="47" t="e">
        <f ca="1"/>
        <v>#NAME?</v>
      </c>
    </row>
    <row r="17" spans="3:51" x14ac:dyDescent="0.55000000000000004">
      <c r="C17" s="6">
        <f t="shared" si="3"/>
        <v>1</v>
      </c>
      <c r="D17" s="5" t="e">
        <f ca="1"/>
        <v>#NAME?</v>
      </c>
      <c r="E17" s="5" t="e">
        <f ca="1"/>
        <v>#NAME?</v>
      </c>
      <c r="F17" s="5" t="e">
        <f ca="1"/>
        <v>#NAME?</v>
      </c>
      <c r="G17" s="5" t="e">
        <f ca="1"/>
        <v>#NAME?</v>
      </c>
      <c r="H17" s="5" t="e">
        <f ca="1"/>
        <v>#NAME?</v>
      </c>
      <c r="I17" s="5" t="e">
        <f ca="1"/>
        <v>#NAME?</v>
      </c>
      <c r="J17" s="5" t="e">
        <f ca="1"/>
        <v>#NAME?</v>
      </c>
      <c r="K17" t="e">
        <f t="shared" ca="1" si="1"/>
        <v>#NAME?</v>
      </c>
      <c r="N17" s="21" t="e">
        <f ca="1"/>
        <v>#NAME?</v>
      </c>
      <c r="O17" t="e">
        <f ca="1"/>
        <v>#NAME?</v>
      </c>
      <c r="P17" t="e">
        <f ca="1"/>
        <v>#NAME?</v>
      </c>
      <c r="R17" s="23" t="e">
        <f ca="1">_xlfn.XLOOKUP(P17,icons[Type],icons[Icon],"")</f>
        <v>#NAME?</v>
      </c>
      <c r="S17" s="23" t="e">
        <f t="shared" ca="1" si="2"/>
        <v>#NAME?</v>
      </c>
      <c r="V17" s="23">
        <v>5</v>
      </c>
      <c r="Z17" s="36" t="e">
        <f ca="1"/>
        <v>#NAME?</v>
      </c>
      <c r="AA17" s="36" t="e">
        <f ca="1"/>
        <v>#NAME?</v>
      </c>
      <c r="AB17" s="36" t="e">
        <f ca="1"/>
        <v>#NAME?</v>
      </c>
      <c r="AC17" s="36" t="e">
        <f ca="1"/>
        <v>#NAME?</v>
      </c>
      <c r="AD17" s="36" t="e">
        <f ca="1"/>
        <v>#NAME?</v>
      </c>
      <c r="AE17" s="36" t="e">
        <f ca="1"/>
        <v>#NAME?</v>
      </c>
      <c r="AF17" s="36" t="e">
        <f ca="1"/>
        <v>#NAME?</v>
      </c>
      <c r="AJ17" s="46" t="e">
        <f ca="1"/>
        <v>#NAME?</v>
      </c>
      <c r="AK17" s="46" t="e">
        <f ca="1"/>
        <v>#NAME?</v>
      </c>
      <c r="AL17" s="46" t="e">
        <f ca="1"/>
        <v>#NAME?</v>
      </c>
      <c r="AM17" s="46" t="e">
        <f ca="1"/>
        <v>#NAME?</v>
      </c>
      <c r="AN17" s="46" t="e">
        <f ca="1"/>
        <v>#NAME?</v>
      </c>
      <c r="AO17" s="46" t="e">
        <f ca="1"/>
        <v>#NAME?</v>
      </c>
      <c r="AP17" s="46" t="e">
        <f ca="1"/>
        <v>#NAME?</v>
      </c>
      <c r="AQ17" s="44"/>
      <c r="AS17" s="46" t="e">
        <f ca="1"/>
        <v>#NAME?</v>
      </c>
      <c r="AT17" s="46" t="e">
        <f ca="1"/>
        <v>#NAME?</v>
      </c>
      <c r="AU17" s="46" t="e">
        <f ca="1"/>
        <v>#NAME?</v>
      </c>
      <c r="AV17" s="46" t="e">
        <f ca="1"/>
        <v>#NAME?</v>
      </c>
      <c r="AW17" s="46" t="e">
        <f ca="1"/>
        <v>#NAME?</v>
      </c>
      <c r="AX17" s="46" t="e">
        <f ca="1"/>
        <v>#NAME?</v>
      </c>
      <c r="AY17" s="46" t="e">
        <f ca="1"/>
        <v>#NAME?</v>
      </c>
    </row>
    <row r="18" spans="3:51" x14ac:dyDescent="0.55000000000000004">
      <c r="C18" s="6">
        <f t="shared" si="3"/>
        <v>1</v>
      </c>
      <c r="D18" s="5" t="e">
        <f ca="1"/>
        <v>#NAME?</v>
      </c>
      <c r="E18" s="5" t="e">
        <f ca="1"/>
        <v>#NAME?</v>
      </c>
      <c r="F18" s="5" t="e">
        <f ca="1"/>
        <v>#NAME?</v>
      </c>
      <c r="G18" s="5" t="e">
        <f ca="1"/>
        <v>#NAME?</v>
      </c>
      <c r="H18" s="5" t="e">
        <f ca="1"/>
        <v>#NAME?</v>
      </c>
      <c r="I18" s="5" t="e">
        <f ca="1"/>
        <v>#NAME?</v>
      </c>
      <c r="J18" s="5" t="e">
        <f ca="1"/>
        <v>#NAME?</v>
      </c>
      <c r="K18" t="e">
        <f t="shared" ca="1" si="1"/>
        <v>#NAME?</v>
      </c>
      <c r="N18" s="21" t="e">
        <f ca="1"/>
        <v>#NAME?</v>
      </c>
      <c r="O18" t="e">
        <f ca="1"/>
        <v>#NAME?</v>
      </c>
      <c r="P18" t="e">
        <f ca="1"/>
        <v>#NAME?</v>
      </c>
      <c r="R18" s="23" t="e">
        <f ca="1">_xlfn.XLOOKUP(P18,icons[Type],icons[Icon],"")</f>
        <v>#NAME?</v>
      </c>
      <c r="S18" s="23" t="e">
        <f t="shared" ca="1" si="2"/>
        <v>#NAME?</v>
      </c>
      <c r="V18" s="23">
        <v>6</v>
      </c>
      <c r="Z18" s="36" t="e">
        <f ca="1"/>
        <v>#NAME?</v>
      </c>
      <c r="AA18" s="36" t="e">
        <f ca="1"/>
        <v>#NAME?</v>
      </c>
      <c r="AB18" s="36" t="e">
        <f ca="1"/>
        <v>#NAME?</v>
      </c>
      <c r="AC18" s="36" t="e">
        <f ca="1"/>
        <v>#NAME?</v>
      </c>
      <c r="AD18" s="36" t="e">
        <f ca="1"/>
        <v>#NAME?</v>
      </c>
      <c r="AE18" s="36" t="e">
        <f ca="1"/>
        <v>#NAME?</v>
      </c>
      <c r="AF18" s="36" t="e">
        <f ca="1"/>
        <v>#NAME?</v>
      </c>
      <c r="AJ18" s="46" t="e">
        <f ca="1"/>
        <v>#NAME?</v>
      </c>
      <c r="AK18" s="46" t="e">
        <f ca="1"/>
        <v>#NAME?</v>
      </c>
      <c r="AL18" s="46" t="e">
        <f ca="1"/>
        <v>#NAME?</v>
      </c>
      <c r="AM18" s="46" t="e">
        <f ca="1"/>
        <v>#NAME?</v>
      </c>
      <c r="AN18" s="46" t="e">
        <f ca="1"/>
        <v>#NAME?</v>
      </c>
      <c r="AO18" s="46" t="e">
        <f ca="1"/>
        <v>#NAME?</v>
      </c>
      <c r="AP18" s="46" t="e">
        <f ca="1"/>
        <v>#NAME?</v>
      </c>
      <c r="AQ18" s="44"/>
      <c r="AS18" s="47" t="e">
        <f ca="1"/>
        <v>#NAME?</v>
      </c>
      <c r="AT18" s="47" t="e">
        <f ca="1"/>
        <v>#NAME?</v>
      </c>
      <c r="AU18" s="47" t="e">
        <f ca="1"/>
        <v>#NAME?</v>
      </c>
      <c r="AV18" s="47" t="e">
        <f ca="1"/>
        <v>#NAME?</v>
      </c>
      <c r="AW18" s="47" t="e">
        <f ca="1"/>
        <v>#NAME?</v>
      </c>
      <c r="AX18" s="47" t="e">
        <f ca="1"/>
        <v>#NAME?</v>
      </c>
      <c r="AY18" s="47" t="e">
        <f ca="1"/>
        <v>#NAME?</v>
      </c>
    </row>
    <row r="19" spans="3:51" x14ac:dyDescent="0.55000000000000004">
      <c r="C19" s="6">
        <f>C13+1</f>
        <v>2</v>
      </c>
      <c r="D19" s="7" t="e" cm="1">
        <f t="array" aca="1" ref="D19:J24" ca="1">_xlfn.LET(_xlpm.mStart, DATE(cal.year, C19, 1), _xlpm.wDay, WEEKDAY(_xlpm.mStart, 10+week.start), _xlfn.SEQUENCE(6,7,_xlpm.mStart-_xlpm.wDay+1))</f>
        <v>#NAME?</v>
      </c>
      <c r="E19" s="5" t="e">
        <f ca="1"/>
        <v>#NAME?</v>
      </c>
      <c r="F19" s="5" t="e">
        <f ca="1"/>
        <v>#NAME?</v>
      </c>
      <c r="G19" s="5" t="e">
        <f ca="1"/>
        <v>#NAME?</v>
      </c>
      <c r="H19" s="5" t="e">
        <f ca="1"/>
        <v>#NAME?</v>
      </c>
      <c r="I19" s="5" t="e">
        <f ca="1"/>
        <v>#NAME?</v>
      </c>
      <c r="J19" s="5" t="e">
        <f ca="1"/>
        <v>#NAME?</v>
      </c>
      <c r="K19" t="e">
        <f t="shared" ca="1" si="1"/>
        <v>#NAME?</v>
      </c>
      <c r="N19" s="21" t="e">
        <f ca="1"/>
        <v>#NAME?</v>
      </c>
      <c r="O19" t="e">
        <f ca="1"/>
        <v>#NAME?</v>
      </c>
      <c r="P19" t="e">
        <f ca="1"/>
        <v>#NAME?</v>
      </c>
      <c r="R19" s="23" t="e">
        <f ca="1">_xlfn.XLOOKUP(P19,icons[Type],icons[Icon],"")</f>
        <v>#NAME?</v>
      </c>
      <c r="S19" s="23" t="e">
        <f t="shared" ca="1" si="2"/>
        <v>#NAME?</v>
      </c>
      <c r="V19" s="23">
        <v>7</v>
      </c>
      <c r="AS19" s="46" t="e">
        <f ca="1"/>
        <v>#NAME?</v>
      </c>
      <c r="AT19" s="46" t="e">
        <f ca="1"/>
        <v>#NAME?</v>
      </c>
      <c r="AU19" s="46" t="e">
        <f ca="1"/>
        <v>#NAME?</v>
      </c>
      <c r="AV19" s="46" t="e">
        <f ca="1"/>
        <v>#NAME?</v>
      </c>
      <c r="AW19" s="46" t="e">
        <f ca="1"/>
        <v>#NAME?</v>
      </c>
      <c r="AX19" s="46" t="e">
        <f ca="1"/>
        <v>#NAME?</v>
      </c>
      <c r="AY19" s="46" t="e">
        <f ca="1"/>
        <v>#NAME?</v>
      </c>
    </row>
    <row r="20" spans="3:51" x14ac:dyDescent="0.55000000000000004">
      <c r="C20" s="6">
        <f>C19</f>
        <v>2</v>
      </c>
      <c r="D20" s="5" t="e">
        <f ca="1"/>
        <v>#NAME?</v>
      </c>
      <c r="E20" s="5" t="e">
        <f ca="1"/>
        <v>#NAME?</v>
      </c>
      <c r="F20" s="5" t="e">
        <f ca="1"/>
        <v>#NAME?</v>
      </c>
      <c r="G20" s="5" t="e">
        <f ca="1"/>
        <v>#NAME?</v>
      </c>
      <c r="H20" s="5" t="e">
        <f ca="1"/>
        <v>#NAME?</v>
      </c>
      <c r="I20" s="5" t="e">
        <f ca="1"/>
        <v>#NAME?</v>
      </c>
      <c r="J20" s="5" t="e">
        <f ca="1"/>
        <v>#NAME?</v>
      </c>
      <c r="K20" t="e">
        <f t="shared" ca="1" si="1"/>
        <v>#NAME?</v>
      </c>
      <c r="N20" s="21" t="e">
        <f ca="1"/>
        <v>#NAME?</v>
      </c>
      <c r="O20" t="e">
        <f ca="1"/>
        <v>#NAME?</v>
      </c>
      <c r="P20" t="e">
        <f ca="1"/>
        <v>#NAME?</v>
      </c>
      <c r="R20" s="23" t="e">
        <f ca="1">_xlfn.XLOOKUP(P20,icons[Type],icons[Icon],"")</f>
        <v>#NAME?</v>
      </c>
      <c r="S20" s="23" t="e">
        <f t="shared" ca="1" si="2"/>
        <v>#NAME?</v>
      </c>
      <c r="V20" s="23">
        <v>8</v>
      </c>
      <c r="AS20" s="47" t="e">
        <f ca="1"/>
        <v>#NAME?</v>
      </c>
      <c r="AT20" s="47" t="e">
        <f ca="1"/>
        <v>#NAME?</v>
      </c>
      <c r="AU20" s="47" t="e">
        <f ca="1"/>
        <v>#NAME?</v>
      </c>
      <c r="AV20" s="47" t="e">
        <f ca="1"/>
        <v>#NAME?</v>
      </c>
      <c r="AW20" s="47" t="e">
        <f ca="1"/>
        <v>#NAME?</v>
      </c>
      <c r="AX20" s="47" t="e">
        <f ca="1"/>
        <v>#NAME?</v>
      </c>
      <c r="AY20" s="47" t="e">
        <f ca="1"/>
        <v>#NAME?</v>
      </c>
    </row>
    <row r="21" spans="3:51" x14ac:dyDescent="0.55000000000000004">
      <c r="C21" s="6">
        <f t="shared" ref="C21:C24" si="4">C20</f>
        <v>2</v>
      </c>
      <c r="D21" s="5" t="e">
        <f ca="1"/>
        <v>#NAME?</v>
      </c>
      <c r="E21" s="5" t="e">
        <f ca="1"/>
        <v>#NAME?</v>
      </c>
      <c r="F21" s="5" t="e">
        <f ca="1"/>
        <v>#NAME?</v>
      </c>
      <c r="G21" s="5" t="e">
        <f ca="1"/>
        <v>#NAME?</v>
      </c>
      <c r="H21" s="5" t="e">
        <f ca="1"/>
        <v>#NAME?</v>
      </c>
      <c r="I21" s="5" t="e">
        <f ca="1"/>
        <v>#NAME?</v>
      </c>
      <c r="J21" s="5" t="e">
        <f ca="1"/>
        <v>#NAME?</v>
      </c>
      <c r="K21" t="e">
        <f t="shared" ca="1" si="1"/>
        <v>#NAME?</v>
      </c>
      <c r="N21" s="21" t="e">
        <f ca="1"/>
        <v>#NAME?</v>
      </c>
      <c r="O21" t="e">
        <f ca="1"/>
        <v>#NAME?</v>
      </c>
      <c r="P21" t="e">
        <f ca="1"/>
        <v>#NAME?</v>
      </c>
      <c r="R21" s="23" t="e">
        <f ca="1">_xlfn.XLOOKUP(P21,icons[Type],icons[Icon],"")</f>
        <v>#NAME?</v>
      </c>
      <c r="S21" s="23" t="e">
        <f t="shared" ca="1" si="2"/>
        <v>#NAME?</v>
      </c>
      <c r="V21" s="23">
        <v>9</v>
      </c>
      <c r="Z21" t="s">
        <v>47</v>
      </c>
      <c r="AJ21" s="23" t="e" cm="1">
        <f t="array" aca="1" ref="AJ21:AP26" ca="1">_xlfn.MAP(_xlfn.ANCHORARRAY(AJ13),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21" s="23" t="e">
        <f ca="1"/>
        <v>#NAME?</v>
      </c>
      <c r="AL21" s="23" t="e">
        <f ca="1"/>
        <v>#NAME?</v>
      </c>
      <c r="AM21" s="23" t="e">
        <f ca="1"/>
        <v>#NAME?</v>
      </c>
      <c r="AN21" s="23" t="e">
        <f ca="1"/>
        <v>#NAME?</v>
      </c>
      <c r="AO21" s="23" t="e">
        <f ca="1"/>
        <v>#NAME?</v>
      </c>
      <c r="AP21" s="23" t="e">
        <f ca="1"/>
        <v>#NAME?</v>
      </c>
      <c r="AS21" s="46" t="e">
        <f ca="1"/>
        <v>#NAME?</v>
      </c>
      <c r="AT21" s="46" t="e">
        <f ca="1"/>
        <v>#NAME?</v>
      </c>
      <c r="AU21" s="46" t="e">
        <f ca="1"/>
        <v>#NAME?</v>
      </c>
      <c r="AV21" s="46" t="e">
        <f ca="1"/>
        <v>#NAME?</v>
      </c>
      <c r="AW21" s="46" t="e">
        <f ca="1"/>
        <v>#NAME?</v>
      </c>
      <c r="AX21" s="46" t="e">
        <f ca="1"/>
        <v>#NAME?</v>
      </c>
      <c r="AY21" s="46" t="e">
        <f ca="1"/>
        <v>#NAME?</v>
      </c>
    </row>
    <row r="22" spans="3:51" x14ac:dyDescent="0.55000000000000004">
      <c r="C22" s="6">
        <f t="shared" si="4"/>
        <v>2</v>
      </c>
      <c r="D22" s="5" t="e">
        <f ca="1"/>
        <v>#NAME?</v>
      </c>
      <c r="E22" s="5" t="e">
        <f ca="1"/>
        <v>#NAME?</v>
      </c>
      <c r="F22" s="5" t="e">
        <f ca="1"/>
        <v>#NAME?</v>
      </c>
      <c r="G22" s="5" t="e">
        <f ca="1"/>
        <v>#NAME?</v>
      </c>
      <c r="H22" s="5" t="e">
        <f ca="1"/>
        <v>#NAME?</v>
      </c>
      <c r="I22" s="5" t="e">
        <f ca="1"/>
        <v>#NAME?</v>
      </c>
      <c r="J22" s="5" t="e">
        <f ca="1"/>
        <v>#NAME?</v>
      </c>
      <c r="K22" t="e">
        <f t="shared" ca="1" si="1"/>
        <v>#NAME?</v>
      </c>
      <c r="N22" s="21" t="e">
        <f ca="1"/>
        <v>#NAME?</v>
      </c>
      <c r="O22" t="e">
        <f ca="1"/>
        <v>#NAME?</v>
      </c>
      <c r="P22" t="e">
        <f ca="1"/>
        <v>#NAME?</v>
      </c>
      <c r="R22" s="23" t="e">
        <f ca="1">_xlfn.XLOOKUP(P22,icons[Type],icons[Icon],"")</f>
        <v>#NAME?</v>
      </c>
      <c r="S22" s="23" t="e">
        <f t="shared" ca="1" si="2"/>
        <v>#NAME?</v>
      </c>
      <c r="V22" s="23">
        <v>10</v>
      </c>
      <c r="Z22" t="str" cm="1">
        <f t="array" aca="1" ref="Z22:AF27" ca="1">IFERROR(_xlfn.XLOOKUP(_xlfn.MAP(_xlfn.ANCHORARRAY(Z13),_xlfn.LAMBDA(_xlpm.v, _xlfn._xlws.FILTER(Plan[Type],Plan[Date]=_xlpm.v,""))),icons[Type],icons[Icon])&amp;" "&amp;_xlfn.MAP(_xlfn.ANCHORARRAY(Z13),_xlfn.LAMBDA(_xlpm.v, _xlfn._xlws.FILTER(Plan[Activity],Plan[Date]=_xlpm.v,""))),"")</f>
        <v/>
      </c>
      <c r="AA22" t="str">
        <f ca="1"/>
        <v/>
      </c>
      <c r="AB22" t="str">
        <f ca="1"/>
        <v/>
      </c>
      <c r="AC22" t="str">
        <f ca="1"/>
        <v/>
      </c>
      <c r="AD22" t="str">
        <f ca="1"/>
        <v/>
      </c>
      <c r="AE22" t="str">
        <f ca="1"/>
        <v/>
      </c>
      <c r="AF22" t="str">
        <f ca="1"/>
        <v/>
      </c>
      <c r="AJ22" s="23" t="e">
        <f ca="1"/>
        <v>#NAME?</v>
      </c>
      <c r="AK22" s="23" t="e">
        <f ca="1"/>
        <v>#NAME?</v>
      </c>
      <c r="AL22" s="23" t="e">
        <f ca="1"/>
        <v>#NAME?</v>
      </c>
      <c r="AM22" s="23" t="e">
        <f ca="1"/>
        <v>#NAME?</v>
      </c>
      <c r="AN22" s="23" t="e">
        <f ca="1"/>
        <v>#NAME?</v>
      </c>
      <c r="AO22" s="23" t="e">
        <f ca="1"/>
        <v>#NAME?</v>
      </c>
      <c r="AP22" s="23" t="e">
        <f ca="1"/>
        <v>#NAME?</v>
      </c>
      <c r="AS22" s="47" t="e">
        <f ca="1"/>
        <v>#NAME?</v>
      </c>
      <c r="AT22" s="47" t="e">
        <f ca="1"/>
        <v>#NAME?</v>
      </c>
      <c r="AU22" s="47" t="e">
        <f ca="1"/>
        <v>#NAME?</v>
      </c>
      <c r="AV22" s="47" t="e">
        <f ca="1"/>
        <v>#NAME?</v>
      </c>
      <c r="AW22" s="47" t="e">
        <f ca="1"/>
        <v>#NAME?</v>
      </c>
      <c r="AX22" s="47" t="e">
        <f ca="1"/>
        <v>#NAME?</v>
      </c>
      <c r="AY22" s="47" t="e">
        <f ca="1"/>
        <v>#NAME?</v>
      </c>
    </row>
    <row r="23" spans="3:51" x14ac:dyDescent="0.55000000000000004">
      <c r="C23" s="6">
        <f t="shared" si="4"/>
        <v>2</v>
      </c>
      <c r="D23" s="5" t="e">
        <f ca="1"/>
        <v>#NAME?</v>
      </c>
      <c r="E23" s="5" t="e">
        <f ca="1"/>
        <v>#NAME?</v>
      </c>
      <c r="F23" s="5" t="e">
        <f ca="1"/>
        <v>#NAME?</v>
      </c>
      <c r="G23" s="5" t="e">
        <f ca="1"/>
        <v>#NAME?</v>
      </c>
      <c r="H23" s="5" t="e">
        <f ca="1"/>
        <v>#NAME?</v>
      </c>
      <c r="I23" s="5" t="e">
        <f ca="1"/>
        <v>#NAME?</v>
      </c>
      <c r="J23" s="5" t="e">
        <f ca="1"/>
        <v>#NAME?</v>
      </c>
      <c r="K23" t="e">
        <f t="shared" ca="1" si="1"/>
        <v>#NAME?</v>
      </c>
      <c r="N23" s="21" t="e">
        <f ca="1"/>
        <v>#NAME?</v>
      </c>
      <c r="O23" t="e">
        <f ca="1"/>
        <v>#NAME?</v>
      </c>
      <c r="P23" t="e">
        <f ca="1"/>
        <v>#NAME?</v>
      </c>
      <c r="R23" s="23" t="e">
        <f ca="1">_xlfn.XLOOKUP(P23,icons[Type],icons[Icon],"")</f>
        <v>#NAME?</v>
      </c>
      <c r="S23" s="23" t="e">
        <f t="shared" ca="1" si="2"/>
        <v>#NAME?</v>
      </c>
      <c r="V23" s="23">
        <v>11</v>
      </c>
      <c r="Z23" t="str">
        <f ca="1"/>
        <v/>
      </c>
      <c r="AA23" t="str">
        <f ca="1"/>
        <v/>
      </c>
      <c r="AB23" t="str">
        <f ca="1"/>
        <v/>
      </c>
      <c r="AC23" t="str">
        <f ca="1"/>
        <v/>
      </c>
      <c r="AD23" t="str">
        <f ca="1"/>
        <v/>
      </c>
      <c r="AE23" t="str">
        <f ca="1"/>
        <v/>
      </c>
      <c r="AF23" t="str">
        <f ca="1"/>
        <v/>
      </c>
      <c r="AJ23" s="23" t="e">
        <f ca="1"/>
        <v>#NAME?</v>
      </c>
      <c r="AK23" s="23" t="e">
        <f ca="1"/>
        <v>#NAME?</v>
      </c>
      <c r="AL23" s="23" t="e">
        <f ca="1"/>
        <v>#NAME?</v>
      </c>
      <c r="AM23" s="23" t="e">
        <f ca="1"/>
        <v>#NAME?</v>
      </c>
      <c r="AN23" s="23" t="e">
        <f ca="1"/>
        <v>#NAME?</v>
      </c>
      <c r="AO23" s="23" t="e">
        <f ca="1"/>
        <v>#NAME?</v>
      </c>
      <c r="AP23" s="23" t="e">
        <f ca="1"/>
        <v>#NAME?</v>
      </c>
      <c r="AS23" s="46" t="e">
        <f ca="1"/>
        <v>#NAME?</v>
      </c>
      <c r="AT23" s="46" t="e">
        <f ca="1"/>
        <v>#NAME?</v>
      </c>
      <c r="AU23" s="46" t="e">
        <f ca="1"/>
        <v>#NAME?</v>
      </c>
      <c r="AV23" s="46" t="e">
        <f ca="1"/>
        <v>#NAME?</v>
      </c>
      <c r="AW23" s="46" t="e">
        <f ca="1"/>
        <v>#NAME?</v>
      </c>
      <c r="AX23" s="46" t="e">
        <f ca="1"/>
        <v>#NAME?</v>
      </c>
      <c r="AY23" s="46" t="e">
        <f ca="1"/>
        <v>#NAME?</v>
      </c>
    </row>
    <row r="24" spans="3:51" x14ac:dyDescent="0.55000000000000004">
      <c r="C24" s="6">
        <f t="shared" si="4"/>
        <v>2</v>
      </c>
      <c r="D24" s="5" t="e">
        <f ca="1"/>
        <v>#NAME?</v>
      </c>
      <c r="E24" s="5" t="e">
        <f ca="1"/>
        <v>#NAME?</v>
      </c>
      <c r="F24" s="5" t="e">
        <f ca="1"/>
        <v>#NAME?</v>
      </c>
      <c r="G24" s="5" t="e">
        <f ca="1"/>
        <v>#NAME?</v>
      </c>
      <c r="H24" s="5" t="e">
        <f ca="1"/>
        <v>#NAME?</v>
      </c>
      <c r="I24" s="5" t="e">
        <f ca="1"/>
        <v>#NAME?</v>
      </c>
      <c r="J24" s="5" t="e">
        <f ca="1"/>
        <v>#NAME?</v>
      </c>
      <c r="K24" t="e">
        <f t="shared" ca="1" si="1"/>
        <v>#NAME?</v>
      </c>
      <c r="N24" s="21" t="e">
        <f ca="1"/>
        <v>#NAME?</v>
      </c>
      <c r="O24" t="e">
        <f ca="1"/>
        <v>#NAME?</v>
      </c>
      <c r="P24" t="e">
        <f ca="1"/>
        <v>#NAME?</v>
      </c>
      <c r="R24" s="23" t="e">
        <f ca="1">_xlfn.XLOOKUP(P24,icons[Type],icons[Icon],"")</f>
        <v>#NAME?</v>
      </c>
      <c r="S24" s="23" t="e">
        <f t="shared" ref="S24:S36" ca="1" si="5">IF(N24=0,"",TEXT(N24,"d-mmm")&amp;": "&amp;O24)</f>
        <v>#NAME?</v>
      </c>
      <c r="V24" s="23">
        <v>12</v>
      </c>
      <c r="Z24" t="str">
        <f ca="1"/>
        <v/>
      </c>
      <c r="AA24" t="str">
        <f ca="1"/>
        <v/>
      </c>
      <c r="AB24" t="str">
        <f ca="1"/>
        <v/>
      </c>
      <c r="AC24" t="str">
        <f ca="1"/>
        <v/>
      </c>
      <c r="AD24" t="str">
        <f ca="1"/>
        <v/>
      </c>
      <c r="AE24" t="str">
        <f ca="1"/>
        <v/>
      </c>
      <c r="AF24" t="str">
        <f ca="1"/>
        <v/>
      </c>
      <c r="AJ24" s="23" t="e">
        <f ca="1"/>
        <v>#NAME?</v>
      </c>
      <c r="AK24" s="23" t="e">
        <f ca="1"/>
        <v>#NAME?</v>
      </c>
      <c r="AL24" s="23" t="e">
        <f ca="1"/>
        <v>#NAME?</v>
      </c>
      <c r="AM24" s="23" t="e">
        <f ca="1"/>
        <v>#NAME?</v>
      </c>
      <c r="AN24" s="23" t="e">
        <f ca="1"/>
        <v>#NAME?</v>
      </c>
      <c r="AO24" s="23" t="e">
        <f ca="1"/>
        <v>#NAME?</v>
      </c>
      <c r="AP24" s="23" t="e">
        <f ca="1"/>
        <v>#NAME?</v>
      </c>
      <c r="AS24" s="47" t="e">
        <f ca="1"/>
        <v>#NAME?</v>
      </c>
      <c r="AT24" s="47" t="e">
        <f ca="1"/>
        <v>#NAME?</v>
      </c>
      <c r="AU24" s="47" t="e">
        <f ca="1"/>
        <v>#NAME?</v>
      </c>
      <c r="AV24" s="47" t="e">
        <f ca="1"/>
        <v>#NAME?</v>
      </c>
      <c r="AW24" s="47" t="e">
        <f ca="1"/>
        <v>#NAME?</v>
      </c>
      <c r="AX24" s="47" t="e">
        <f ca="1"/>
        <v>#NAME?</v>
      </c>
      <c r="AY24" s="47" t="e">
        <f ca="1"/>
        <v>#NAME?</v>
      </c>
    </row>
    <row r="25" spans="3:51" x14ac:dyDescent="0.55000000000000004">
      <c r="C25" s="6">
        <f t="shared" ref="C25" si="6">C19+1</f>
        <v>3</v>
      </c>
      <c r="D25" s="7" t="e" cm="1">
        <f t="array" aca="1" ref="D25:J30" ca="1">_xlfn.LET(_xlpm.mStart, DATE(cal.year, C25, 1), _xlpm.wDay, WEEKDAY(_xlpm.mStart, 10+week.start), _xlfn.SEQUENCE(6,7,_xlpm.mStart-_xlpm.wDay+1))</f>
        <v>#NAME?</v>
      </c>
      <c r="E25" s="5" t="e">
        <f ca="1"/>
        <v>#NAME?</v>
      </c>
      <c r="F25" s="5" t="e">
        <f ca="1"/>
        <v>#NAME?</v>
      </c>
      <c r="G25" s="5" t="e">
        <f ca="1"/>
        <v>#NAME?</v>
      </c>
      <c r="H25" s="5" t="e">
        <f ca="1"/>
        <v>#NAME?</v>
      </c>
      <c r="I25" s="5" t="e">
        <f ca="1"/>
        <v>#NAME?</v>
      </c>
      <c r="J25" s="5" t="e">
        <f ca="1"/>
        <v>#NAME?</v>
      </c>
      <c r="K25" t="e">
        <f t="shared" ca="1" si="1"/>
        <v>#NAME?</v>
      </c>
      <c r="N25" s="21" t="e">
        <f ca="1"/>
        <v>#NAME?</v>
      </c>
      <c r="O25" t="e">
        <f ca="1"/>
        <v>#NAME?</v>
      </c>
      <c r="P25" t="e">
        <f ca="1"/>
        <v>#NAME?</v>
      </c>
      <c r="R25" s="23" t="e">
        <f ca="1">_xlfn.XLOOKUP(P25,icons[Type],icons[Icon],"")</f>
        <v>#NAME?</v>
      </c>
      <c r="S25" s="23" t="e">
        <f t="shared" ca="1" si="5"/>
        <v>#NAME?</v>
      </c>
      <c r="Z25" t="str">
        <f ca="1"/>
        <v/>
      </c>
      <c r="AA25" t="str">
        <f ca="1"/>
        <v/>
      </c>
      <c r="AB25" t="str">
        <f ca="1"/>
        <v/>
      </c>
      <c r="AC25" t="str">
        <f ca="1"/>
        <v/>
      </c>
      <c r="AD25" t="str">
        <f ca="1"/>
        <v/>
      </c>
      <c r="AE25" t="str">
        <f ca="1"/>
        <v/>
      </c>
      <c r="AF25" t="str">
        <f ca="1"/>
        <v/>
      </c>
      <c r="AJ25" s="23" t="e">
        <f ca="1"/>
        <v>#NAME?</v>
      </c>
      <c r="AK25" s="23" t="e">
        <f ca="1"/>
        <v>#NAME?</v>
      </c>
      <c r="AL25" s="23" t="e">
        <f ca="1"/>
        <v>#NAME?</v>
      </c>
      <c r="AM25" s="23" t="e">
        <f ca="1"/>
        <v>#NAME?</v>
      </c>
      <c r="AN25" s="23" t="e">
        <f ca="1"/>
        <v>#NAME?</v>
      </c>
      <c r="AO25" s="23" t="e">
        <f ca="1"/>
        <v>#NAME?</v>
      </c>
      <c r="AP25" s="23" t="e">
        <f ca="1"/>
        <v>#NAME?</v>
      </c>
    </row>
    <row r="26" spans="3:51" x14ac:dyDescent="0.55000000000000004">
      <c r="C26" s="6">
        <f t="shared" ref="C26:C78" si="7">C25</f>
        <v>3</v>
      </c>
      <c r="D26" s="5" t="e">
        <f ca="1"/>
        <v>#NAME?</v>
      </c>
      <c r="E26" s="5" t="e">
        <f ca="1"/>
        <v>#NAME?</v>
      </c>
      <c r="F26" s="5" t="e">
        <f ca="1"/>
        <v>#NAME?</v>
      </c>
      <c r="G26" s="5" t="e">
        <f ca="1"/>
        <v>#NAME?</v>
      </c>
      <c r="H26" s="5" t="e">
        <f ca="1"/>
        <v>#NAME?</v>
      </c>
      <c r="I26" s="5" t="e">
        <f ca="1"/>
        <v>#NAME?</v>
      </c>
      <c r="J26" s="5" t="e">
        <f ca="1"/>
        <v>#NAME?</v>
      </c>
      <c r="K26" t="e">
        <f t="shared" ca="1" si="1"/>
        <v>#NAME?</v>
      </c>
      <c r="N26" s="21" t="e">
        <f ca="1"/>
        <v>#NAME?</v>
      </c>
      <c r="O26" t="e">
        <f ca="1"/>
        <v>#NAME?</v>
      </c>
      <c r="P26" t="e">
        <f ca="1"/>
        <v>#NAME?</v>
      </c>
      <c r="R26" s="23" t="e">
        <f ca="1">_xlfn.XLOOKUP(P26,icons[Type],icons[Icon],"")</f>
        <v>#NAME?</v>
      </c>
      <c r="S26" s="23" t="e">
        <f t="shared" ca="1" si="5"/>
        <v>#NAME?</v>
      </c>
      <c r="Z26" t="str">
        <f ca="1"/>
        <v/>
      </c>
      <c r="AA26" t="str">
        <f ca="1"/>
        <v/>
      </c>
      <c r="AB26" t="str">
        <f ca="1"/>
        <v/>
      </c>
      <c r="AC26" t="str">
        <f ca="1"/>
        <v/>
      </c>
      <c r="AD26" t="str">
        <f ca="1"/>
        <v/>
      </c>
      <c r="AE26" t="str">
        <f ca="1"/>
        <v/>
      </c>
      <c r="AF26" t="str">
        <f ca="1"/>
        <v/>
      </c>
      <c r="AJ26" s="23" t="e">
        <f ca="1"/>
        <v>#NAME?</v>
      </c>
      <c r="AK26" s="23" t="e">
        <f ca="1"/>
        <v>#NAME?</v>
      </c>
      <c r="AL26" s="23" t="e">
        <f ca="1"/>
        <v>#NAME?</v>
      </c>
      <c r="AM26" s="23" t="e">
        <f ca="1"/>
        <v>#NAME?</v>
      </c>
      <c r="AN26" s="23" t="e">
        <f ca="1"/>
        <v>#NAME?</v>
      </c>
      <c r="AO26" s="23" t="e">
        <f ca="1"/>
        <v>#NAME?</v>
      </c>
      <c r="AP26" s="23" t="e">
        <f ca="1"/>
        <v>#NAME?</v>
      </c>
    </row>
    <row r="27" spans="3:51" x14ac:dyDescent="0.55000000000000004">
      <c r="C27" s="6">
        <f t="shared" si="7"/>
        <v>3</v>
      </c>
      <c r="D27" s="5" t="e">
        <f ca="1"/>
        <v>#NAME?</v>
      </c>
      <c r="E27" s="5" t="e">
        <f ca="1"/>
        <v>#NAME?</v>
      </c>
      <c r="F27" s="5" t="e">
        <f ca="1"/>
        <v>#NAME?</v>
      </c>
      <c r="G27" s="5" t="e">
        <f ca="1"/>
        <v>#NAME?</v>
      </c>
      <c r="H27" s="5" t="e">
        <f ca="1"/>
        <v>#NAME?</v>
      </c>
      <c r="I27" s="5" t="e">
        <f ca="1"/>
        <v>#NAME?</v>
      </c>
      <c r="J27" s="5" t="e">
        <f ca="1"/>
        <v>#NAME?</v>
      </c>
      <c r="K27" t="e">
        <f t="shared" ca="1" si="1"/>
        <v>#NAME?</v>
      </c>
      <c r="N27" s="21" t="e">
        <f ca="1"/>
        <v>#NAME?</v>
      </c>
      <c r="O27" t="e">
        <f ca="1"/>
        <v>#NAME?</v>
      </c>
      <c r="P27" t="e">
        <f ca="1"/>
        <v>#NAME?</v>
      </c>
      <c r="R27" s="23" t="e">
        <f ca="1">_xlfn.XLOOKUP(P27,icons[Type],icons[Icon],"")</f>
        <v>#NAME?</v>
      </c>
      <c r="S27" s="23" t="e">
        <f t="shared" ca="1" si="5"/>
        <v>#NAME?</v>
      </c>
      <c r="Z27" t="str">
        <f ca="1"/>
        <v/>
      </c>
      <c r="AA27" t="str">
        <f ca="1"/>
        <v/>
      </c>
      <c r="AB27" t="str">
        <f ca="1"/>
        <v/>
      </c>
      <c r="AC27" t="str">
        <f ca="1"/>
        <v/>
      </c>
      <c r="AD27" t="str">
        <f ca="1"/>
        <v/>
      </c>
      <c r="AE27" t="str">
        <f ca="1"/>
        <v/>
      </c>
      <c r="AF27" t="str">
        <f ca="1"/>
        <v/>
      </c>
    </row>
    <row r="28" spans="3:51" x14ac:dyDescent="0.55000000000000004">
      <c r="C28" s="6">
        <f t="shared" si="7"/>
        <v>3</v>
      </c>
      <c r="D28" s="5" t="e">
        <f ca="1"/>
        <v>#NAME?</v>
      </c>
      <c r="E28" s="5" t="e">
        <f ca="1"/>
        <v>#NAME?</v>
      </c>
      <c r="F28" s="5" t="e">
        <f ca="1"/>
        <v>#NAME?</v>
      </c>
      <c r="G28" s="5" t="e">
        <f ca="1"/>
        <v>#NAME?</v>
      </c>
      <c r="H28" s="5" t="e">
        <f ca="1"/>
        <v>#NAME?</v>
      </c>
      <c r="I28" s="5" t="e">
        <f ca="1"/>
        <v>#NAME?</v>
      </c>
      <c r="J28" s="5" t="e">
        <f ca="1"/>
        <v>#NAME?</v>
      </c>
      <c r="K28" t="e">
        <f t="shared" ca="1" si="1"/>
        <v>#NAME?</v>
      </c>
      <c r="N28" s="21"/>
      <c r="R28" s="23" t="str">
        <f>_xlfn.XLOOKUP(P28,icons[Type],icons[Icon],"")</f>
        <v/>
      </c>
      <c r="S28" s="23" t="str">
        <f t="shared" si="5"/>
        <v/>
      </c>
    </row>
    <row r="29" spans="3:51" x14ac:dyDescent="0.55000000000000004">
      <c r="C29" s="6">
        <f t="shared" si="7"/>
        <v>3</v>
      </c>
      <c r="D29" s="5" t="e">
        <f ca="1"/>
        <v>#NAME?</v>
      </c>
      <c r="E29" s="5" t="e">
        <f ca="1"/>
        <v>#NAME?</v>
      </c>
      <c r="F29" s="5" t="e">
        <f ca="1"/>
        <v>#NAME?</v>
      </c>
      <c r="G29" s="5" t="e">
        <f ca="1"/>
        <v>#NAME?</v>
      </c>
      <c r="H29" s="5" t="e">
        <f ca="1"/>
        <v>#NAME?</v>
      </c>
      <c r="I29" s="5" t="e">
        <f ca="1"/>
        <v>#NAME?</v>
      </c>
      <c r="J29" s="5" t="e">
        <f ca="1"/>
        <v>#NAME?</v>
      </c>
      <c r="K29" t="e">
        <f t="shared" ca="1" si="1"/>
        <v>#NAME?</v>
      </c>
      <c r="N29" s="21"/>
      <c r="R29" s="23" t="str">
        <f>_xlfn.XLOOKUP(P29,icons[Type],icons[Icon],"")</f>
        <v/>
      </c>
      <c r="S29" s="23" t="str">
        <f t="shared" si="5"/>
        <v/>
      </c>
      <c r="AI29" s="45">
        <f>AI13+1</f>
        <v>2</v>
      </c>
      <c r="AJ29" s="46" t="e" cm="1">
        <f t="array" aca="1" ref="AJ29:AP34" ca="1">_xlfn.LET(_xlpm.dt, _xlfn._xlws.FILTER(monthly.calendar, month.nums=AI29), IF(MONTH(_xlpm.dt)&lt;&gt;AI29,"",_xlpm.dt))</f>
        <v>#NAME?</v>
      </c>
      <c r="AK29" s="46" t="e">
        <f ca="1"/>
        <v>#NAME?</v>
      </c>
      <c r="AL29" s="46" t="e">
        <f ca="1"/>
        <v>#NAME?</v>
      </c>
      <c r="AM29" s="46" t="e">
        <f ca="1"/>
        <v>#NAME?</v>
      </c>
      <c r="AN29" s="46" t="e">
        <f ca="1"/>
        <v>#NAME?</v>
      </c>
      <c r="AO29" s="46" t="e">
        <f ca="1"/>
        <v>#NAME?</v>
      </c>
      <c r="AP29" s="46" t="e">
        <f ca="1"/>
        <v>#NAME?</v>
      </c>
      <c r="AS29" s="46" t="e" cm="1">
        <f t="array" aca="1" ref="AS29:AY40" ca="1">_xlfn.WRAPROWS(_xlfn.TOCOL(_xlfn.HSTACK(_xlfn.ANCHORARRAY(AJ29),_xlfn.ANCHORARRAY(AJ37))),7)</f>
        <v>#NAME?</v>
      </c>
      <c r="AT29" s="46" t="e">
        <f ca="1"/>
        <v>#NAME?</v>
      </c>
      <c r="AU29" s="46" t="e">
        <f ca="1"/>
        <v>#NAME?</v>
      </c>
      <c r="AV29" s="46" t="e">
        <f ca="1"/>
        <v>#NAME?</v>
      </c>
      <c r="AW29" s="46" t="e">
        <f ca="1"/>
        <v>#NAME?</v>
      </c>
      <c r="AX29" s="46" t="e">
        <f ca="1"/>
        <v>#NAME?</v>
      </c>
      <c r="AY29" s="46" t="e">
        <f ca="1"/>
        <v>#NAME?</v>
      </c>
    </row>
    <row r="30" spans="3:51" x14ac:dyDescent="0.55000000000000004">
      <c r="C30" s="6">
        <f t="shared" si="7"/>
        <v>3</v>
      </c>
      <c r="D30" s="5" t="e">
        <f ca="1"/>
        <v>#NAME?</v>
      </c>
      <c r="E30" s="5" t="e">
        <f ca="1"/>
        <v>#NAME?</v>
      </c>
      <c r="F30" s="5" t="e">
        <f ca="1"/>
        <v>#NAME?</v>
      </c>
      <c r="G30" s="5" t="e">
        <f ca="1"/>
        <v>#NAME?</v>
      </c>
      <c r="H30" s="5" t="e">
        <f ca="1"/>
        <v>#NAME?</v>
      </c>
      <c r="I30" s="5" t="e">
        <f ca="1"/>
        <v>#NAME?</v>
      </c>
      <c r="J30" s="5" t="e">
        <f ca="1"/>
        <v>#NAME?</v>
      </c>
      <c r="K30" t="e">
        <f t="shared" ca="1" si="1"/>
        <v>#NAME?</v>
      </c>
      <c r="N30" s="21"/>
      <c r="R30" s="23" t="str">
        <f>_xlfn.XLOOKUP(P30,icons[Type],icons[Icon],"")</f>
        <v/>
      </c>
      <c r="S30" s="23" t="str">
        <f t="shared" si="5"/>
        <v/>
      </c>
      <c r="AJ30" s="46" t="e">
        <f ca="1"/>
        <v>#NAME?</v>
      </c>
      <c r="AK30" s="46" t="e">
        <f ca="1"/>
        <v>#NAME?</v>
      </c>
      <c r="AL30" s="46" t="e">
        <f ca="1"/>
        <v>#NAME?</v>
      </c>
      <c r="AM30" s="46" t="e">
        <f ca="1"/>
        <v>#NAME?</v>
      </c>
      <c r="AN30" s="46" t="e">
        <f ca="1"/>
        <v>#NAME?</v>
      </c>
      <c r="AO30" s="46" t="e">
        <f ca="1"/>
        <v>#NAME?</v>
      </c>
      <c r="AP30" s="46" t="e">
        <f ca="1"/>
        <v>#NAME?</v>
      </c>
      <c r="AS30" s="47" t="e">
        <f ca="1"/>
        <v>#NAME?</v>
      </c>
      <c r="AT30" s="47" t="e">
        <f ca="1"/>
        <v>#NAME?</v>
      </c>
      <c r="AU30" s="47" t="e">
        <f ca="1"/>
        <v>#NAME?</v>
      </c>
      <c r="AV30" s="47" t="e">
        <f ca="1"/>
        <v>#NAME?</v>
      </c>
      <c r="AW30" s="47" t="e">
        <f ca="1"/>
        <v>#NAME?</v>
      </c>
      <c r="AX30" s="47" t="e">
        <f ca="1"/>
        <v>#NAME?</v>
      </c>
      <c r="AY30" s="47" t="e">
        <f ca="1"/>
        <v>#NAME?</v>
      </c>
    </row>
    <row r="31" spans="3:51" x14ac:dyDescent="0.55000000000000004">
      <c r="C31" s="6">
        <f t="shared" ref="C31" si="8">C25+1</f>
        <v>4</v>
      </c>
      <c r="D31" s="7" t="e" cm="1">
        <f t="array" aca="1" ref="D31:J36" ca="1">_xlfn.LET(_xlpm.mStart, DATE(cal.year, C31, 1), _xlpm.wDay, WEEKDAY(_xlpm.mStart, 10+week.start), _xlfn.SEQUENCE(6,7,_xlpm.mStart-_xlpm.wDay+1))</f>
        <v>#NAME?</v>
      </c>
      <c r="E31" s="5" t="e">
        <f ca="1"/>
        <v>#NAME?</v>
      </c>
      <c r="F31" s="5" t="e">
        <f ca="1"/>
        <v>#NAME?</v>
      </c>
      <c r="G31" s="5" t="e">
        <f ca="1"/>
        <v>#NAME?</v>
      </c>
      <c r="H31" s="5" t="e">
        <f ca="1"/>
        <v>#NAME?</v>
      </c>
      <c r="I31" s="5" t="e">
        <f ca="1"/>
        <v>#NAME?</v>
      </c>
      <c r="J31" s="5" t="e">
        <f ca="1"/>
        <v>#NAME?</v>
      </c>
      <c r="K31" t="e">
        <f t="shared" ca="1" si="1"/>
        <v>#NAME?</v>
      </c>
      <c r="N31" s="21"/>
      <c r="R31" s="23" t="str">
        <f>_xlfn.XLOOKUP(P31,icons[Type],icons[Icon],"")</f>
        <v/>
      </c>
      <c r="S31" s="23" t="str">
        <f t="shared" si="5"/>
        <v/>
      </c>
      <c r="Z31" s="23" t="str" cm="1">
        <f t="array" aca="1" ref="Z31" ca="1">IFERROR(_xlfn.LET(_xlpm.events, _xlfn._xlws.FILTER(Plan[Activity],Plan[Date]=Calc!Z13), _xlpm.ic, _xlfn.XLOOKUP(_xlfn._xlws.FILTER(Plan[Type], Plan[Date]=Z13,"x"), icons[Type], icons[Icon]), _xlfn.TEXTJOIN(CHAR(10),TRUE, _xlpm.ic&amp;_xlpm.events)),"")</f>
        <v/>
      </c>
      <c r="AA31" s="23" t="str" cm="1">
        <f t="array" aca="1" ref="AA31" ca="1">IFERROR(_xlfn.LET(_xlpm.events, _xlfn._xlws.FILTER(Plan[Activity],Plan[Date]=Calc!AA13), _xlpm.ic, _xlfn.XLOOKUP(_xlfn._xlws.FILTER(Plan[Type], Plan[Date]=AA13,"x"), icons[Type], icons[Icon]), _xlfn.TEXTJOIN(CHAR(10),TRUE, _xlpm.ic&amp;_xlpm.events)),"")</f>
        <v/>
      </c>
      <c r="AB31" s="23" t="str" cm="1">
        <f t="array" aca="1" ref="AB31" ca="1">IFERROR(_xlfn.LET(_xlpm.events, _xlfn._xlws.FILTER(Plan[Activity],Plan[Date]=Calc!AB13), _xlpm.ic, _xlfn.XLOOKUP(_xlfn._xlws.FILTER(Plan[Type], Plan[Date]=AB13,"x"), icons[Type], icons[Icon]), _xlfn.TEXTJOIN(CHAR(10),TRUE, _xlpm.ic&amp;_xlpm.events)),"")</f>
        <v/>
      </c>
      <c r="AC31" s="23" t="str" cm="1">
        <f t="array" aca="1" ref="AC31" ca="1">IFERROR(_xlfn.LET(_xlpm.events, _xlfn._xlws.FILTER(Plan[Activity],Plan[Date]=Calc!AC13), _xlpm.ic, _xlfn.XLOOKUP(_xlfn._xlws.FILTER(Plan[Type], Plan[Date]=AC13,"x"), icons[Type], icons[Icon]), _xlfn.TEXTJOIN(CHAR(10),TRUE, _xlpm.ic&amp;_xlpm.events)),"")</f>
        <v/>
      </c>
      <c r="AD31" s="23" t="str" cm="1">
        <f t="array" aca="1" ref="AD31" ca="1">IFERROR(_xlfn.LET(_xlpm.events, _xlfn._xlws.FILTER(Plan[Activity],Plan[Date]=Calc!AD13), _xlpm.ic, _xlfn.XLOOKUP(_xlfn._xlws.FILTER(Plan[Type], Plan[Date]=AD13,"x"), icons[Type], icons[Icon]), _xlfn.TEXTJOIN(CHAR(10),TRUE, _xlpm.ic&amp;_xlpm.events)),"")</f>
        <v/>
      </c>
      <c r="AE31" s="23" t="str" cm="1">
        <f t="array" aca="1" ref="AE31" ca="1">IFERROR(_xlfn.LET(_xlpm.events, _xlfn._xlws.FILTER(Plan[Activity],Plan[Date]=Calc!AE13), _xlpm.ic, _xlfn.XLOOKUP(_xlfn._xlws.FILTER(Plan[Type], Plan[Date]=AE13,"x"), icons[Type], icons[Icon]), _xlfn.TEXTJOIN(CHAR(10),TRUE, _xlpm.ic&amp;_xlpm.events)),"")</f>
        <v/>
      </c>
      <c r="AF31" s="23" t="str" cm="1">
        <f t="array" aca="1" ref="AF31" ca="1">IFERROR(_xlfn.LET(_xlpm.events, _xlfn._xlws.FILTER(Plan[Activity],Plan[Date]=Calc!AF13), _xlpm.ic, _xlfn.XLOOKUP(_xlfn._xlws.FILTER(Plan[Type], Plan[Date]=AF13,"x"), icons[Type], icons[Icon]), _xlfn.TEXTJOIN(CHAR(10),TRUE, _xlpm.ic&amp;_xlpm.events)),"")</f>
        <v/>
      </c>
      <c r="AJ31" s="46" t="e">
        <f ca="1"/>
        <v>#NAME?</v>
      </c>
      <c r="AK31" s="46" t="e">
        <f ca="1"/>
        <v>#NAME?</v>
      </c>
      <c r="AL31" s="46" t="e">
        <f ca="1"/>
        <v>#NAME?</v>
      </c>
      <c r="AM31" s="46" t="e">
        <f ca="1"/>
        <v>#NAME?</v>
      </c>
      <c r="AN31" s="46" t="e">
        <f ca="1"/>
        <v>#NAME?</v>
      </c>
      <c r="AO31" s="46" t="e">
        <f ca="1"/>
        <v>#NAME?</v>
      </c>
      <c r="AP31" s="46" t="e">
        <f ca="1"/>
        <v>#NAME?</v>
      </c>
      <c r="AS31" s="46" t="e">
        <f ca="1"/>
        <v>#NAME?</v>
      </c>
      <c r="AT31" s="46" t="e">
        <f ca="1"/>
        <v>#NAME?</v>
      </c>
      <c r="AU31" s="46" t="e">
        <f ca="1"/>
        <v>#NAME?</v>
      </c>
      <c r="AV31" s="46" t="e">
        <f ca="1"/>
        <v>#NAME?</v>
      </c>
      <c r="AW31" s="46" t="e">
        <f ca="1"/>
        <v>#NAME?</v>
      </c>
      <c r="AX31" s="46" t="e">
        <f ca="1"/>
        <v>#NAME?</v>
      </c>
      <c r="AY31" s="46" t="e">
        <f ca="1"/>
        <v>#NAME?</v>
      </c>
    </row>
    <row r="32" spans="3:51" x14ac:dyDescent="0.55000000000000004">
      <c r="C32" s="6">
        <f t="shared" ref="C32" si="9">C31</f>
        <v>4</v>
      </c>
      <c r="D32" s="5" t="e">
        <f ca="1"/>
        <v>#NAME?</v>
      </c>
      <c r="E32" s="5" t="e">
        <f ca="1"/>
        <v>#NAME?</v>
      </c>
      <c r="F32" s="5" t="e">
        <f ca="1"/>
        <v>#NAME?</v>
      </c>
      <c r="G32" s="5" t="e">
        <f ca="1"/>
        <v>#NAME?</v>
      </c>
      <c r="H32" s="5" t="e">
        <f ca="1"/>
        <v>#NAME?</v>
      </c>
      <c r="I32" s="5" t="e">
        <f ca="1"/>
        <v>#NAME?</v>
      </c>
      <c r="J32" s="5" t="e">
        <f ca="1"/>
        <v>#NAME?</v>
      </c>
      <c r="K32" t="e">
        <f t="shared" ca="1" si="1"/>
        <v>#NAME?</v>
      </c>
      <c r="N32" s="21"/>
      <c r="R32" s="23" t="str">
        <f>_xlfn.XLOOKUP(P32,icons[Type],icons[Icon],"")</f>
        <v/>
      </c>
      <c r="S32" s="23" t="str">
        <f t="shared" si="5"/>
        <v/>
      </c>
      <c r="Z32" s="23" t="str" cm="1">
        <f t="array" aca="1" ref="Z32" ca="1">IFERROR(_xlfn.LET(_xlpm.events, _xlfn._xlws.FILTER(Plan[Activity],Plan[Date]=Calc!Z14), _xlpm.ic, _xlfn.XLOOKUP(_xlfn._xlws.FILTER(Plan[Type], Plan[Date]=Z14,"x"), icons[Type], icons[Icon]), _xlfn.TEXTJOIN(CHAR(10),TRUE, _xlpm.ic&amp;_xlpm.events)),"")</f>
        <v/>
      </c>
      <c r="AA32" s="23" t="str" cm="1">
        <f t="array" aca="1" ref="AA32" ca="1">IFERROR(_xlfn.LET(_xlpm.events, _xlfn._xlws.FILTER(Plan[Activity],Plan[Date]=Calc!AA14), _xlpm.ic, _xlfn.XLOOKUP(_xlfn._xlws.FILTER(Plan[Type], Plan[Date]=AA14,"x"), icons[Type], icons[Icon]), _xlfn.TEXTJOIN(CHAR(10),TRUE, _xlpm.ic&amp;_xlpm.events)),"")</f>
        <v/>
      </c>
      <c r="AB32" s="23" t="str" cm="1">
        <f t="array" aca="1" ref="AB32" ca="1">IFERROR(_xlfn.LET(_xlpm.events, _xlfn._xlws.FILTER(Plan[Activity],Plan[Date]=Calc!AB14), _xlpm.ic, _xlfn.XLOOKUP(_xlfn._xlws.FILTER(Plan[Type], Plan[Date]=AB14,"x"), icons[Type], icons[Icon]), _xlfn.TEXTJOIN(CHAR(10),TRUE, _xlpm.ic&amp;_xlpm.events)),"")</f>
        <v/>
      </c>
      <c r="AC32" s="23" t="str" cm="1">
        <f t="array" aca="1" ref="AC32" ca="1">IFERROR(_xlfn.LET(_xlpm.events, _xlfn._xlws.FILTER(Plan[Activity],Plan[Date]=Calc!AC14), _xlpm.ic, _xlfn.XLOOKUP(_xlfn._xlws.FILTER(Plan[Type], Plan[Date]=AC14,"x"), icons[Type], icons[Icon]), _xlfn.TEXTJOIN(CHAR(10),TRUE, _xlpm.ic&amp;_xlpm.events)),"")</f>
        <v/>
      </c>
      <c r="AD32" s="23" t="str" cm="1">
        <f t="array" aca="1" ref="AD32" ca="1">IFERROR(_xlfn.LET(_xlpm.events, _xlfn._xlws.FILTER(Plan[Activity],Plan[Date]=Calc!AD14), _xlpm.ic, _xlfn.XLOOKUP(_xlfn._xlws.FILTER(Plan[Type], Plan[Date]=AD14,"x"), icons[Type], icons[Icon]), _xlfn.TEXTJOIN(CHAR(10),TRUE, _xlpm.ic&amp;_xlpm.events)),"")</f>
        <v/>
      </c>
      <c r="AE32" s="23" t="str" cm="1">
        <f t="array" aca="1" ref="AE32" ca="1">IFERROR(_xlfn.LET(_xlpm.events, _xlfn._xlws.FILTER(Plan[Activity],Plan[Date]=Calc!AE14), _xlpm.ic, _xlfn.XLOOKUP(_xlfn._xlws.FILTER(Plan[Type], Plan[Date]=AE14,"x"), icons[Type], icons[Icon]), _xlfn.TEXTJOIN(CHAR(10),TRUE, _xlpm.ic&amp;_xlpm.events)),"")</f>
        <v/>
      </c>
      <c r="AF32" s="23" t="str" cm="1">
        <f t="array" aca="1" ref="AF32" ca="1">IFERROR(_xlfn.LET(_xlpm.events, _xlfn._xlws.FILTER(Plan[Activity],Plan[Date]=Calc!AF14), _xlpm.ic, _xlfn.XLOOKUP(_xlfn._xlws.FILTER(Plan[Type], Plan[Date]=AF14,"x"), icons[Type], icons[Icon]), _xlfn.TEXTJOIN(CHAR(10),TRUE, _xlpm.ic&amp;_xlpm.events)),"")</f>
        <v/>
      </c>
      <c r="AJ32" s="46" t="e">
        <f ca="1"/>
        <v>#NAME?</v>
      </c>
      <c r="AK32" s="46" t="e">
        <f ca="1"/>
        <v>#NAME?</v>
      </c>
      <c r="AL32" s="46" t="e">
        <f ca="1"/>
        <v>#NAME?</v>
      </c>
      <c r="AM32" s="46" t="e">
        <f ca="1"/>
        <v>#NAME?</v>
      </c>
      <c r="AN32" s="46" t="e">
        <f ca="1"/>
        <v>#NAME?</v>
      </c>
      <c r="AO32" s="46" t="e">
        <f ca="1"/>
        <v>#NAME?</v>
      </c>
      <c r="AP32" s="46" t="e">
        <f ca="1"/>
        <v>#NAME?</v>
      </c>
      <c r="AS32" s="47" t="e">
        <f ca="1"/>
        <v>#NAME?</v>
      </c>
      <c r="AT32" s="47" t="e">
        <f ca="1"/>
        <v>#NAME?</v>
      </c>
      <c r="AU32" s="47" t="e">
        <f ca="1"/>
        <v>#NAME?</v>
      </c>
      <c r="AV32" s="47" t="e">
        <f ca="1"/>
        <v>#NAME?</v>
      </c>
      <c r="AW32" s="47" t="e">
        <f ca="1"/>
        <v>#NAME?</v>
      </c>
      <c r="AX32" s="47" t="e">
        <f ca="1"/>
        <v>#NAME?</v>
      </c>
      <c r="AY32" s="47" t="e">
        <f ca="1"/>
        <v>#NAME?</v>
      </c>
    </row>
    <row r="33" spans="3:51" x14ac:dyDescent="0.55000000000000004">
      <c r="C33" s="6">
        <f t="shared" si="7"/>
        <v>4</v>
      </c>
      <c r="D33" s="5" t="e">
        <f ca="1"/>
        <v>#NAME?</v>
      </c>
      <c r="E33" s="5" t="e">
        <f ca="1"/>
        <v>#NAME?</v>
      </c>
      <c r="F33" s="5" t="e">
        <f ca="1"/>
        <v>#NAME?</v>
      </c>
      <c r="G33" s="5" t="e">
        <f ca="1"/>
        <v>#NAME?</v>
      </c>
      <c r="H33" s="5" t="e">
        <f ca="1"/>
        <v>#NAME?</v>
      </c>
      <c r="I33" s="5" t="e">
        <f ca="1"/>
        <v>#NAME?</v>
      </c>
      <c r="J33" s="5" t="e">
        <f ca="1"/>
        <v>#NAME?</v>
      </c>
      <c r="K33" t="e">
        <f t="shared" ca="1" si="1"/>
        <v>#NAME?</v>
      </c>
      <c r="N33" s="21"/>
      <c r="R33" s="23" t="str">
        <f>_xlfn.XLOOKUP(P33,icons[Type],icons[Icon],"")</f>
        <v/>
      </c>
      <c r="S33" s="23" t="str">
        <f t="shared" si="5"/>
        <v/>
      </c>
      <c r="Z33" s="23" t="str" cm="1">
        <f t="array" aca="1" ref="Z33" ca="1">IFERROR(_xlfn.LET(_xlpm.events, _xlfn._xlws.FILTER(Plan[Activity],Plan[Date]=Calc!Z15), _xlpm.ic, _xlfn.XLOOKUP(_xlfn._xlws.FILTER(Plan[Type], Plan[Date]=Z15,"x"), icons[Type], icons[Icon]), _xlfn.TEXTJOIN(CHAR(10),TRUE, _xlpm.ic&amp;_xlpm.events)),"")</f>
        <v/>
      </c>
      <c r="AA33" s="23" t="str" cm="1">
        <f t="array" aca="1" ref="AA33" ca="1">IFERROR(_xlfn.LET(_xlpm.events, _xlfn._xlws.FILTER(Plan[Activity],Plan[Date]=Calc!AA15), _xlpm.ic, _xlfn.XLOOKUP(_xlfn._xlws.FILTER(Plan[Type], Plan[Date]=AA15,"x"), icons[Type], icons[Icon]), _xlfn.TEXTJOIN(CHAR(10),TRUE, _xlpm.ic&amp;_xlpm.events)),"")</f>
        <v/>
      </c>
      <c r="AB33" s="23" t="str" cm="1">
        <f t="array" aca="1" ref="AB33" ca="1">IFERROR(_xlfn.LET(_xlpm.events, _xlfn._xlws.FILTER(Plan[Activity],Plan[Date]=Calc!AB15), _xlpm.ic, _xlfn.XLOOKUP(_xlfn._xlws.FILTER(Plan[Type], Plan[Date]=AB15,"x"), icons[Type], icons[Icon]), _xlfn.TEXTJOIN(CHAR(10),TRUE, _xlpm.ic&amp;_xlpm.events)),"")</f>
        <v/>
      </c>
      <c r="AC33" s="23" t="str" cm="1">
        <f t="array" aca="1" ref="AC33" ca="1">IFERROR(_xlfn.LET(_xlpm.events, _xlfn._xlws.FILTER(Plan[Activity],Plan[Date]=Calc!AC15), _xlpm.ic, _xlfn.XLOOKUP(_xlfn._xlws.FILTER(Plan[Type], Plan[Date]=AC15,"x"), icons[Type], icons[Icon]), _xlfn.TEXTJOIN(CHAR(10),TRUE, _xlpm.ic&amp;_xlpm.events)),"")</f>
        <v/>
      </c>
      <c r="AD33" s="23" t="str" cm="1">
        <f t="array" aca="1" ref="AD33" ca="1">IFERROR(_xlfn.LET(_xlpm.events, _xlfn._xlws.FILTER(Plan[Activity],Plan[Date]=Calc!AD15), _xlpm.ic, _xlfn.XLOOKUP(_xlfn._xlws.FILTER(Plan[Type], Plan[Date]=AD15,"x"), icons[Type], icons[Icon]), _xlfn.TEXTJOIN(CHAR(10),TRUE, _xlpm.ic&amp;_xlpm.events)),"")</f>
        <v/>
      </c>
      <c r="AE33" s="23" t="str" cm="1">
        <f t="array" aca="1" ref="AE33" ca="1">IFERROR(_xlfn.LET(_xlpm.events, _xlfn._xlws.FILTER(Plan[Activity],Plan[Date]=Calc!AE15), _xlpm.ic, _xlfn.XLOOKUP(_xlfn._xlws.FILTER(Plan[Type], Plan[Date]=AE15,"x"), icons[Type], icons[Icon]), _xlfn.TEXTJOIN(CHAR(10),TRUE, _xlpm.ic&amp;_xlpm.events)),"")</f>
        <v/>
      </c>
      <c r="AF33" s="23" t="str" cm="1">
        <f t="array" aca="1" ref="AF33" ca="1">IFERROR(_xlfn.LET(_xlpm.events, _xlfn._xlws.FILTER(Plan[Activity],Plan[Date]=Calc!AF15), _xlpm.ic, _xlfn.XLOOKUP(_xlfn._xlws.FILTER(Plan[Type], Plan[Date]=AF15,"x"), icons[Type], icons[Icon]), _xlfn.TEXTJOIN(CHAR(10),TRUE, _xlpm.ic&amp;_xlpm.events)),"")</f>
        <v/>
      </c>
      <c r="AJ33" s="46" t="e">
        <f ca="1"/>
        <v>#NAME?</v>
      </c>
      <c r="AK33" s="46" t="e">
        <f ca="1"/>
        <v>#NAME?</v>
      </c>
      <c r="AL33" s="46" t="e">
        <f ca="1"/>
        <v>#NAME?</v>
      </c>
      <c r="AM33" s="46" t="e">
        <f ca="1"/>
        <v>#NAME?</v>
      </c>
      <c r="AN33" s="46" t="e">
        <f ca="1"/>
        <v>#NAME?</v>
      </c>
      <c r="AO33" s="46" t="e">
        <f ca="1"/>
        <v>#NAME?</v>
      </c>
      <c r="AP33" s="46" t="e">
        <f ca="1"/>
        <v>#NAME?</v>
      </c>
      <c r="AS33" s="46" t="e">
        <f ca="1"/>
        <v>#NAME?</v>
      </c>
      <c r="AT33" s="46" t="e">
        <f ca="1"/>
        <v>#NAME?</v>
      </c>
      <c r="AU33" s="46" t="e">
        <f ca="1"/>
        <v>#NAME?</v>
      </c>
      <c r="AV33" s="46" t="e">
        <f ca="1"/>
        <v>#NAME?</v>
      </c>
      <c r="AW33" s="46" t="e">
        <f ca="1"/>
        <v>#NAME?</v>
      </c>
      <c r="AX33" s="46" t="e">
        <f ca="1"/>
        <v>#NAME?</v>
      </c>
      <c r="AY33" s="46" t="e">
        <f ca="1"/>
        <v>#NAME?</v>
      </c>
    </row>
    <row r="34" spans="3:51" x14ac:dyDescent="0.55000000000000004">
      <c r="C34" s="6">
        <f t="shared" si="7"/>
        <v>4</v>
      </c>
      <c r="D34" s="5" t="e">
        <f ca="1"/>
        <v>#NAME?</v>
      </c>
      <c r="E34" s="5" t="e">
        <f ca="1"/>
        <v>#NAME?</v>
      </c>
      <c r="F34" s="5" t="e">
        <f ca="1"/>
        <v>#NAME?</v>
      </c>
      <c r="G34" s="5" t="e">
        <f ca="1"/>
        <v>#NAME?</v>
      </c>
      <c r="H34" s="5" t="e">
        <f ca="1"/>
        <v>#NAME?</v>
      </c>
      <c r="I34" s="5" t="e">
        <f ca="1"/>
        <v>#NAME?</v>
      </c>
      <c r="J34" s="5" t="e">
        <f ca="1"/>
        <v>#NAME?</v>
      </c>
      <c r="K34" t="e">
        <f t="shared" ca="1" si="1"/>
        <v>#NAME?</v>
      </c>
      <c r="N34" s="21"/>
      <c r="R34" s="23" t="str">
        <f>_xlfn.XLOOKUP(P34,icons[Type],icons[Icon],"")</f>
        <v/>
      </c>
      <c r="S34" s="23" t="str">
        <f t="shared" si="5"/>
        <v/>
      </c>
      <c r="Z34" s="23" t="str" cm="1">
        <f t="array" aca="1" ref="Z34" ca="1">IFERROR(_xlfn.LET(_xlpm.events, _xlfn._xlws.FILTER(Plan[Activity],Plan[Date]=Calc!Z16), _xlpm.ic, _xlfn.XLOOKUP(_xlfn._xlws.FILTER(Plan[Type], Plan[Date]=Z16,"x"), icons[Type], icons[Icon]), _xlfn.TEXTJOIN(CHAR(10),TRUE, _xlpm.ic&amp;_xlpm.events)),"")</f>
        <v/>
      </c>
      <c r="AA34" s="23" t="str" cm="1">
        <f t="array" aca="1" ref="AA34" ca="1">IFERROR(_xlfn.LET(_xlpm.events, _xlfn._xlws.FILTER(Plan[Activity],Plan[Date]=Calc!AA16), _xlpm.ic, _xlfn.XLOOKUP(_xlfn._xlws.FILTER(Plan[Type], Plan[Date]=AA16,"x"), icons[Type], icons[Icon]), _xlfn.TEXTJOIN(CHAR(10),TRUE, _xlpm.ic&amp;_xlpm.events)),"")</f>
        <v/>
      </c>
      <c r="AB34" s="23" t="str" cm="1">
        <f t="array" aca="1" ref="AB34" ca="1">IFERROR(_xlfn.LET(_xlpm.events, _xlfn._xlws.FILTER(Plan[Activity],Plan[Date]=Calc!AB16), _xlpm.ic, _xlfn.XLOOKUP(_xlfn._xlws.FILTER(Plan[Type], Plan[Date]=AB16,"x"), icons[Type], icons[Icon]), _xlfn.TEXTJOIN(CHAR(10),TRUE, _xlpm.ic&amp;_xlpm.events)),"")</f>
        <v/>
      </c>
      <c r="AC34" s="23" t="str" cm="1">
        <f t="array" aca="1" ref="AC34" ca="1">IFERROR(_xlfn.LET(_xlpm.events, _xlfn._xlws.FILTER(Plan[Activity],Plan[Date]=Calc!AC16), _xlpm.ic, _xlfn.XLOOKUP(_xlfn._xlws.FILTER(Plan[Type], Plan[Date]=AC16,"x"), icons[Type], icons[Icon]), _xlfn.TEXTJOIN(CHAR(10),TRUE, _xlpm.ic&amp;_xlpm.events)),"")</f>
        <v/>
      </c>
      <c r="AD34" s="23" t="str" cm="1">
        <f t="array" aca="1" ref="AD34" ca="1">IFERROR(_xlfn.LET(_xlpm.events, _xlfn._xlws.FILTER(Plan[Activity],Plan[Date]=Calc!AD16), _xlpm.ic, _xlfn.XLOOKUP(_xlfn._xlws.FILTER(Plan[Type], Plan[Date]=AD16,"x"), icons[Type], icons[Icon]), _xlfn.TEXTJOIN(CHAR(10),TRUE, _xlpm.ic&amp;_xlpm.events)),"")</f>
        <v/>
      </c>
      <c r="AE34" s="23" t="str" cm="1">
        <f t="array" aca="1" ref="AE34" ca="1">IFERROR(_xlfn.LET(_xlpm.events, _xlfn._xlws.FILTER(Plan[Activity],Plan[Date]=Calc!AE16), _xlpm.ic, _xlfn.XLOOKUP(_xlfn._xlws.FILTER(Plan[Type], Plan[Date]=AE16,"x"), icons[Type], icons[Icon]), _xlfn.TEXTJOIN(CHAR(10),TRUE, _xlpm.ic&amp;_xlpm.events)),"")</f>
        <v/>
      </c>
      <c r="AF34" s="23" t="str" cm="1">
        <f t="array" aca="1" ref="AF34" ca="1">IFERROR(_xlfn.LET(_xlpm.events, _xlfn._xlws.FILTER(Plan[Activity],Plan[Date]=Calc!AF16), _xlpm.ic, _xlfn.XLOOKUP(_xlfn._xlws.FILTER(Plan[Type], Plan[Date]=AF16,"x"), icons[Type], icons[Icon]), _xlfn.TEXTJOIN(CHAR(10),TRUE, _xlpm.ic&amp;_xlpm.events)),"")</f>
        <v/>
      </c>
      <c r="AJ34" s="46" t="e">
        <f ca="1"/>
        <v>#NAME?</v>
      </c>
      <c r="AK34" s="46" t="e">
        <f ca="1"/>
        <v>#NAME?</v>
      </c>
      <c r="AL34" s="46" t="e">
        <f ca="1"/>
        <v>#NAME?</v>
      </c>
      <c r="AM34" s="46" t="e">
        <f ca="1"/>
        <v>#NAME?</v>
      </c>
      <c r="AN34" s="46" t="e">
        <f ca="1"/>
        <v>#NAME?</v>
      </c>
      <c r="AO34" s="46" t="e">
        <f ca="1"/>
        <v>#NAME?</v>
      </c>
      <c r="AP34" s="46" t="e">
        <f ca="1"/>
        <v>#NAME?</v>
      </c>
      <c r="AS34" s="47" t="e">
        <f ca="1"/>
        <v>#NAME?</v>
      </c>
      <c r="AT34" s="47" t="e">
        <f ca="1"/>
        <v>#NAME?</v>
      </c>
      <c r="AU34" s="47" t="e">
        <f ca="1"/>
        <v>#NAME?</v>
      </c>
      <c r="AV34" s="47" t="e">
        <f ca="1"/>
        <v>#NAME?</v>
      </c>
      <c r="AW34" s="47" t="e">
        <f ca="1"/>
        <v>#NAME?</v>
      </c>
      <c r="AX34" s="47" t="e">
        <f ca="1"/>
        <v>#NAME?</v>
      </c>
      <c r="AY34" s="47" t="e">
        <f ca="1"/>
        <v>#NAME?</v>
      </c>
    </row>
    <row r="35" spans="3:51" x14ac:dyDescent="0.55000000000000004">
      <c r="C35" s="6">
        <f t="shared" si="7"/>
        <v>4</v>
      </c>
      <c r="D35" s="5" t="e">
        <f ca="1"/>
        <v>#NAME?</v>
      </c>
      <c r="E35" s="5" t="e">
        <f ca="1"/>
        <v>#NAME?</v>
      </c>
      <c r="F35" s="5" t="e">
        <f ca="1"/>
        <v>#NAME?</v>
      </c>
      <c r="G35" s="5" t="e">
        <f ca="1"/>
        <v>#NAME?</v>
      </c>
      <c r="H35" s="5" t="e">
        <f ca="1"/>
        <v>#NAME?</v>
      </c>
      <c r="I35" s="5" t="e">
        <f ca="1"/>
        <v>#NAME?</v>
      </c>
      <c r="J35" s="5" t="e">
        <f ca="1"/>
        <v>#NAME?</v>
      </c>
      <c r="K35" t="e">
        <f t="shared" ca="1" si="1"/>
        <v>#NAME?</v>
      </c>
      <c r="N35" s="21"/>
      <c r="R35" s="23" t="str">
        <f>_xlfn.XLOOKUP(P35,icons[Type],icons[Icon],"")</f>
        <v/>
      </c>
      <c r="S35" s="23" t="str">
        <f t="shared" si="5"/>
        <v/>
      </c>
      <c r="Z35" s="23" t="str" cm="1">
        <f t="array" aca="1" ref="Z35" ca="1">IFERROR(_xlfn.LET(_xlpm.events, _xlfn._xlws.FILTER(Plan[Activity],Plan[Date]=Calc!Z17), _xlpm.ic, _xlfn.XLOOKUP(_xlfn._xlws.FILTER(Plan[Type], Plan[Date]=Z17,"x"), icons[Type], icons[Icon]), _xlfn.TEXTJOIN(CHAR(10),TRUE, _xlpm.ic&amp;_xlpm.events)),"")</f>
        <v/>
      </c>
      <c r="AA35" s="23" t="str" cm="1">
        <f t="array" aca="1" ref="AA35" ca="1">IFERROR(_xlfn.LET(_xlpm.events, _xlfn._xlws.FILTER(Plan[Activity],Plan[Date]=Calc!AA17), _xlpm.ic, _xlfn.XLOOKUP(_xlfn._xlws.FILTER(Plan[Type], Plan[Date]=AA17,"x"), icons[Type], icons[Icon]), _xlfn.TEXTJOIN(CHAR(10),TRUE, _xlpm.ic&amp;_xlpm.events)),"")</f>
        <v/>
      </c>
      <c r="AB35" s="23" t="str" cm="1">
        <f t="array" aca="1" ref="AB35" ca="1">IFERROR(_xlfn.LET(_xlpm.events, _xlfn._xlws.FILTER(Plan[Activity],Plan[Date]=Calc!AB17), _xlpm.ic, _xlfn.XLOOKUP(_xlfn._xlws.FILTER(Plan[Type], Plan[Date]=AB17,"x"), icons[Type], icons[Icon]), _xlfn.TEXTJOIN(CHAR(10),TRUE, _xlpm.ic&amp;_xlpm.events)),"")</f>
        <v/>
      </c>
      <c r="AC35" s="23" t="str" cm="1">
        <f t="array" aca="1" ref="AC35" ca="1">IFERROR(_xlfn.LET(_xlpm.events, _xlfn._xlws.FILTER(Plan[Activity],Plan[Date]=Calc!AC17), _xlpm.ic, _xlfn.XLOOKUP(_xlfn._xlws.FILTER(Plan[Type], Plan[Date]=AC17,"x"), icons[Type], icons[Icon]), _xlfn.TEXTJOIN(CHAR(10),TRUE, _xlpm.ic&amp;_xlpm.events)),"")</f>
        <v/>
      </c>
      <c r="AD35" s="23" t="str" cm="1">
        <f t="array" aca="1" ref="AD35" ca="1">IFERROR(_xlfn.LET(_xlpm.events, _xlfn._xlws.FILTER(Plan[Activity],Plan[Date]=Calc!AD17), _xlpm.ic, _xlfn.XLOOKUP(_xlfn._xlws.FILTER(Plan[Type], Plan[Date]=AD17,"x"), icons[Type], icons[Icon]), _xlfn.TEXTJOIN(CHAR(10),TRUE, _xlpm.ic&amp;_xlpm.events)),"")</f>
        <v/>
      </c>
      <c r="AE35" s="23" t="str" cm="1">
        <f t="array" aca="1" ref="AE35" ca="1">IFERROR(_xlfn.LET(_xlpm.events, _xlfn._xlws.FILTER(Plan[Activity],Plan[Date]=Calc!AE17), _xlpm.ic, _xlfn.XLOOKUP(_xlfn._xlws.FILTER(Plan[Type], Plan[Date]=AE17,"x"), icons[Type], icons[Icon]), _xlfn.TEXTJOIN(CHAR(10),TRUE, _xlpm.ic&amp;_xlpm.events)),"")</f>
        <v/>
      </c>
      <c r="AF35" s="23" t="str" cm="1">
        <f t="array" aca="1" ref="AF35" ca="1">IFERROR(_xlfn.LET(_xlpm.events, _xlfn._xlws.FILTER(Plan[Activity],Plan[Date]=Calc!AF17), _xlpm.ic, _xlfn.XLOOKUP(_xlfn._xlws.FILTER(Plan[Type], Plan[Date]=AF17,"x"), icons[Type], icons[Icon]), _xlfn.TEXTJOIN(CHAR(10),TRUE, _xlpm.ic&amp;_xlpm.events)),"")</f>
        <v/>
      </c>
      <c r="AS35" s="46" t="e">
        <f ca="1"/>
        <v>#NAME?</v>
      </c>
      <c r="AT35" s="46" t="e">
        <f ca="1"/>
        <v>#NAME?</v>
      </c>
      <c r="AU35" s="46" t="e">
        <f ca="1"/>
        <v>#NAME?</v>
      </c>
      <c r="AV35" s="46" t="e">
        <f ca="1"/>
        <v>#NAME?</v>
      </c>
      <c r="AW35" s="46" t="e">
        <f ca="1"/>
        <v>#NAME?</v>
      </c>
      <c r="AX35" s="46" t="e">
        <f ca="1"/>
        <v>#NAME?</v>
      </c>
      <c r="AY35" s="46" t="e">
        <f ca="1"/>
        <v>#NAME?</v>
      </c>
    </row>
    <row r="36" spans="3:51" x14ac:dyDescent="0.55000000000000004">
      <c r="C36" s="6">
        <f t="shared" si="7"/>
        <v>4</v>
      </c>
      <c r="D36" s="5" t="e">
        <f ca="1"/>
        <v>#NAME?</v>
      </c>
      <c r="E36" s="5" t="e">
        <f ca="1"/>
        <v>#NAME?</v>
      </c>
      <c r="F36" s="5" t="e">
        <f ca="1"/>
        <v>#NAME?</v>
      </c>
      <c r="G36" s="5" t="e">
        <f ca="1"/>
        <v>#NAME?</v>
      </c>
      <c r="H36" s="5" t="e">
        <f ca="1"/>
        <v>#NAME?</v>
      </c>
      <c r="I36" s="5" t="e">
        <f ca="1"/>
        <v>#NAME?</v>
      </c>
      <c r="J36" s="5" t="e">
        <f ca="1"/>
        <v>#NAME?</v>
      </c>
      <c r="K36" t="e">
        <f t="shared" ca="1" si="1"/>
        <v>#NAME?</v>
      </c>
      <c r="N36" s="21"/>
      <c r="R36" s="23" t="str">
        <f>_xlfn.XLOOKUP(P36,icons[Type],icons[Icon],"")</f>
        <v/>
      </c>
      <c r="S36" s="23" t="str">
        <f t="shared" si="5"/>
        <v/>
      </c>
      <c r="Z36" s="23" t="str" cm="1">
        <f t="array" aca="1" ref="Z36" ca="1">IFERROR(_xlfn.LET(_xlpm.events, _xlfn._xlws.FILTER(Plan[Activity],Plan[Date]=Calc!Z18), _xlpm.ic, _xlfn.XLOOKUP(_xlfn._xlws.FILTER(Plan[Type], Plan[Date]=Z18,"x"), icons[Type], icons[Icon]), _xlfn.TEXTJOIN(CHAR(10),TRUE, _xlpm.ic&amp;_xlpm.events)),"")</f>
        <v/>
      </c>
      <c r="AA36" s="23" t="str" cm="1">
        <f t="array" aca="1" ref="AA36" ca="1">IFERROR(_xlfn.LET(_xlpm.events, _xlfn._xlws.FILTER(Plan[Activity],Plan[Date]=Calc!AA18), _xlpm.ic, _xlfn.XLOOKUP(_xlfn._xlws.FILTER(Plan[Type], Plan[Date]=AA18,"x"), icons[Type], icons[Icon]), _xlfn.TEXTJOIN(CHAR(10),TRUE, _xlpm.ic&amp;_xlpm.events)),"")</f>
        <v/>
      </c>
      <c r="AB36" s="23" t="str" cm="1">
        <f t="array" aca="1" ref="AB36" ca="1">IFERROR(_xlfn.LET(_xlpm.events, _xlfn._xlws.FILTER(Plan[Activity],Plan[Date]=Calc!AB18), _xlpm.ic, _xlfn.XLOOKUP(_xlfn._xlws.FILTER(Plan[Type], Plan[Date]=AB18,"x"), icons[Type], icons[Icon]), _xlfn.TEXTJOIN(CHAR(10),TRUE, _xlpm.ic&amp;_xlpm.events)),"")</f>
        <v/>
      </c>
      <c r="AC36" s="23" t="str" cm="1">
        <f t="array" aca="1" ref="AC36" ca="1">IFERROR(_xlfn.LET(_xlpm.events, _xlfn._xlws.FILTER(Plan[Activity],Plan[Date]=Calc!AC18), _xlpm.ic, _xlfn.XLOOKUP(_xlfn._xlws.FILTER(Plan[Type], Plan[Date]=AC18,"x"), icons[Type], icons[Icon]), _xlfn.TEXTJOIN(CHAR(10),TRUE, _xlpm.ic&amp;_xlpm.events)),"")</f>
        <v/>
      </c>
      <c r="AD36" s="23" t="str" cm="1">
        <f t="array" aca="1" ref="AD36" ca="1">IFERROR(_xlfn.LET(_xlpm.events, _xlfn._xlws.FILTER(Plan[Activity],Plan[Date]=Calc!AD18), _xlpm.ic, _xlfn.XLOOKUP(_xlfn._xlws.FILTER(Plan[Type], Plan[Date]=AD18,"x"), icons[Type], icons[Icon]), _xlfn.TEXTJOIN(CHAR(10),TRUE, _xlpm.ic&amp;_xlpm.events)),"")</f>
        <v/>
      </c>
      <c r="AE36" s="23" t="str" cm="1">
        <f t="array" aca="1" ref="AE36" ca="1">IFERROR(_xlfn.LET(_xlpm.events, _xlfn._xlws.FILTER(Plan[Activity],Plan[Date]=Calc!AE18), _xlpm.ic, _xlfn.XLOOKUP(_xlfn._xlws.FILTER(Plan[Type], Plan[Date]=AE18,"x"), icons[Type], icons[Icon]), _xlfn.TEXTJOIN(CHAR(10),TRUE, _xlpm.ic&amp;_xlpm.events)),"")</f>
        <v/>
      </c>
      <c r="AF36" s="23" t="str" cm="1">
        <f t="array" aca="1" ref="AF36" ca="1">IFERROR(_xlfn.LET(_xlpm.events, _xlfn._xlws.FILTER(Plan[Activity],Plan[Date]=Calc!AF18), _xlpm.ic, _xlfn.XLOOKUP(_xlfn._xlws.FILTER(Plan[Type], Plan[Date]=AF18,"x"), icons[Type], icons[Icon]), _xlfn.TEXTJOIN(CHAR(10),TRUE, _xlpm.ic&amp;_xlpm.events)),"")</f>
        <v/>
      </c>
      <c r="AS36" s="47" t="e">
        <f ca="1"/>
        <v>#NAME?</v>
      </c>
      <c r="AT36" s="47" t="e">
        <f ca="1"/>
        <v>#NAME?</v>
      </c>
      <c r="AU36" s="47" t="e">
        <f ca="1"/>
        <v>#NAME?</v>
      </c>
      <c r="AV36" s="47" t="e">
        <f ca="1"/>
        <v>#NAME?</v>
      </c>
      <c r="AW36" s="47" t="e">
        <f ca="1"/>
        <v>#NAME?</v>
      </c>
      <c r="AX36" s="47" t="e">
        <f ca="1"/>
        <v>#NAME?</v>
      </c>
      <c r="AY36" s="47" t="e">
        <f ca="1"/>
        <v>#NAME?</v>
      </c>
    </row>
    <row r="37" spans="3:51" x14ac:dyDescent="0.55000000000000004">
      <c r="C37" s="6">
        <f t="shared" ref="C37" si="10">C31+1</f>
        <v>5</v>
      </c>
      <c r="D37" s="7" t="e" cm="1">
        <f t="array" aca="1" ref="D37:J42" ca="1">_xlfn.LET(_xlpm.mStart, DATE(cal.year, C37, 1), _xlpm.wDay, WEEKDAY(_xlpm.mStart, 10+week.start), _xlfn.SEQUENCE(6,7,_xlpm.mStart-_xlpm.wDay+1))</f>
        <v>#NAME?</v>
      </c>
      <c r="E37" s="5" t="e">
        <f ca="1"/>
        <v>#NAME?</v>
      </c>
      <c r="F37" s="5" t="e">
        <f ca="1"/>
        <v>#NAME?</v>
      </c>
      <c r="G37" s="5" t="e">
        <f ca="1"/>
        <v>#NAME?</v>
      </c>
      <c r="H37" s="5" t="e">
        <f ca="1"/>
        <v>#NAME?</v>
      </c>
      <c r="I37" s="5" t="e">
        <f ca="1"/>
        <v>#NAME?</v>
      </c>
      <c r="J37" s="5" t="e">
        <f ca="1"/>
        <v>#NAME?</v>
      </c>
      <c r="K37" t="e">
        <f t="shared" ca="1" si="1"/>
        <v>#NAME?</v>
      </c>
      <c r="N37" s="21"/>
      <c r="R37" s="23" t="str">
        <f>_xlfn.XLOOKUP(P37,icons[Type],icons[Icon],"")</f>
        <v/>
      </c>
      <c r="S37" s="23" t="str">
        <f>IF(N37=0,"",TEXT(N37,"d-mmm")&amp;": "&amp;O37)</f>
        <v/>
      </c>
      <c r="AJ37" s="23" t="e" cm="1">
        <f t="array" aca="1" ref="AJ37:AP42" ca="1">_xlfn.MAP(_xlfn.ANCHORARRAY(AJ29),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37" s="23" t="e">
        <f ca="1"/>
        <v>#NAME?</v>
      </c>
      <c r="AL37" s="23" t="e">
        <f ca="1"/>
        <v>#NAME?</v>
      </c>
      <c r="AM37" s="23" t="e">
        <f ca="1"/>
        <v>#NAME?</v>
      </c>
      <c r="AN37" s="23" t="e">
        <f ca="1"/>
        <v>#NAME?</v>
      </c>
      <c r="AO37" s="23" t="e">
        <f ca="1"/>
        <v>#NAME?</v>
      </c>
      <c r="AP37" s="23" t="e">
        <f ca="1"/>
        <v>#NAME?</v>
      </c>
      <c r="AS37" s="46" t="e">
        <f ca="1"/>
        <v>#NAME?</v>
      </c>
      <c r="AT37" s="46" t="e">
        <f ca="1"/>
        <v>#NAME?</v>
      </c>
      <c r="AU37" s="46" t="e">
        <f ca="1"/>
        <v>#NAME?</v>
      </c>
      <c r="AV37" s="46" t="e">
        <f ca="1"/>
        <v>#NAME?</v>
      </c>
      <c r="AW37" s="46" t="e">
        <f ca="1"/>
        <v>#NAME?</v>
      </c>
      <c r="AX37" s="46" t="e">
        <f ca="1"/>
        <v>#NAME?</v>
      </c>
      <c r="AY37" s="46" t="e">
        <f ca="1"/>
        <v>#NAME?</v>
      </c>
    </row>
    <row r="38" spans="3:51" x14ac:dyDescent="0.55000000000000004">
      <c r="C38" s="6">
        <f t="shared" ref="C38" si="11">C37</f>
        <v>5</v>
      </c>
      <c r="D38" s="5" t="e">
        <f ca="1"/>
        <v>#NAME?</v>
      </c>
      <c r="E38" s="5" t="e">
        <f ca="1"/>
        <v>#NAME?</v>
      </c>
      <c r="F38" s="5" t="e">
        <f ca="1"/>
        <v>#NAME?</v>
      </c>
      <c r="G38" s="5" t="e">
        <f ca="1"/>
        <v>#NAME?</v>
      </c>
      <c r="H38" s="5" t="e">
        <f ca="1"/>
        <v>#NAME?</v>
      </c>
      <c r="I38" s="5" t="e">
        <f ca="1"/>
        <v>#NAME?</v>
      </c>
      <c r="J38" s="5" t="e">
        <f ca="1"/>
        <v>#NAME?</v>
      </c>
      <c r="K38" t="e">
        <f t="shared" ca="1" si="1"/>
        <v>#NAME?</v>
      </c>
      <c r="AJ38" s="23" t="e">
        <f ca="1"/>
        <v>#NAME?</v>
      </c>
      <c r="AK38" s="23" t="e">
        <f ca="1"/>
        <v>#NAME?</v>
      </c>
      <c r="AL38" s="23" t="e">
        <f ca="1"/>
        <v>#NAME?</v>
      </c>
      <c r="AM38" s="23" t="e">
        <f ca="1"/>
        <v>#NAME?</v>
      </c>
      <c r="AN38" s="23" t="e">
        <f ca="1"/>
        <v>#NAME?</v>
      </c>
      <c r="AO38" s="23" t="e">
        <f ca="1"/>
        <v>#NAME?</v>
      </c>
      <c r="AP38" s="23" t="e">
        <f ca="1"/>
        <v>#NAME?</v>
      </c>
      <c r="AS38" s="47" t="e">
        <f ca="1"/>
        <v>#NAME?</v>
      </c>
      <c r="AT38" s="47" t="e">
        <f ca="1"/>
        <v>#NAME?</v>
      </c>
      <c r="AU38" s="47" t="e">
        <f ca="1"/>
        <v>#NAME?</v>
      </c>
      <c r="AV38" s="47" t="e">
        <f ca="1"/>
        <v>#NAME?</v>
      </c>
      <c r="AW38" s="47" t="e">
        <f ca="1"/>
        <v>#NAME?</v>
      </c>
      <c r="AX38" s="47" t="e">
        <f ca="1"/>
        <v>#NAME?</v>
      </c>
      <c r="AY38" s="47" t="e">
        <f ca="1"/>
        <v>#NAME?</v>
      </c>
    </row>
    <row r="39" spans="3:51" x14ac:dyDescent="0.55000000000000004">
      <c r="C39" s="6">
        <f t="shared" si="7"/>
        <v>5</v>
      </c>
      <c r="D39" s="5" t="e">
        <f ca="1"/>
        <v>#NAME?</v>
      </c>
      <c r="E39" s="5" t="e">
        <f ca="1"/>
        <v>#NAME?</v>
      </c>
      <c r="F39" s="5" t="e">
        <f ca="1"/>
        <v>#NAME?</v>
      </c>
      <c r="G39" s="5" t="e">
        <f ca="1"/>
        <v>#NAME?</v>
      </c>
      <c r="H39" s="5" t="e">
        <f ca="1"/>
        <v>#NAME?</v>
      </c>
      <c r="I39" s="5" t="e">
        <f ca="1"/>
        <v>#NAME?</v>
      </c>
      <c r="J39" s="5" t="e">
        <f ca="1"/>
        <v>#NAME?</v>
      </c>
      <c r="K39" t="e">
        <f t="shared" ca="1" si="1"/>
        <v>#NAME?</v>
      </c>
      <c r="AA39" s="23"/>
      <c r="AB39" s="23"/>
      <c r="AC39" s="23"/>
      <c r="AD39" s="23"/>
      <c r="AE39" s="23"/>
      <c r="AF39" s="23"/>
      <c r="AJ39" s="23" t="e">
        <f ca="1"/>
        <v>#NAME?</v>
      </c>
      <c r="AK39" s="23" t="e">
        <f ca="1"/>
        <v>#NAME?</v>
      </c>
      <c r="AL39" s="23" t="e">
        <f ca="1"/>
        <v>#NAME?</v>
      </c>
      <c r="AM39" s="23" t="e">
        <f ca="1"/>
        <v>#NAME?</v>
      </c>
      <c r="AN39" s="23" t="e">
        <f ca="1"/>
        <v>#NAME?</v>
      </c>
      <c r="AO39" s="23" t="e">
        <f ca="1"/>
        <v>#NAME?</v>
      </c>
      <c r="AP39" s="23" t="e">
        <f ca="1"/>
        <v>#NAME?</v>
      </c>
      <c r="AS39" s="46" t="e">
        <f ca="1"/>
        <v>#NAME?</v>
      </c>
      <c r="AT39" s="46" t="e">
        <f ca="1"/>
        <v>#NAME?</v>
      </c>
      <c r="AU39" s="46" t="e">
        <f ca="1"/>
        <v>#NAME?</v>
      </c>
      <c r="AV39" s="46" t="e">
        <f ca="1"/>
        <v>#NAME?</v>
      </c>
      <c r="AW39" s="46" t="e">
        <f ca="1"/>
        <v>#NAME?</v>
      </c>
      <c r="AX39" s="46" t="e">
        <f ca="1"/>
        <v>#NAME?</v>
      </c>
      <c r="AY39" s="46" t="e">
        <f ca="1"/>
        <v>#NAME?</v>
      </c>
    </row>
    <row r="40" spans="3:51" x14ac:dyDescent="0.55000000000000004">
      <c r="C40" s="6">
        <f t="shared" si="7"/>
        <v>5</v>
      </c>
      <c r="D40" s="5" t="e">
        <f ca="1"/>
        <v>#NAME?</v>
      </c>
      <c r="E40" s="5" t="e">
        <f ca="1"/>
        <v>#NAME?</v>
      </c>
      <c r="F40" s="5" t="e">
        <f ca="1"/>
        <v>#NAME?</v>
      </c>
      <c r="G40" s="5" t="e">
        <f ca="1"/>
        <v>#NAME?</v>
      </c>
      <c r="H40" s="5" t="e">
        <f ca="1"/>
        <v>#NAME?</v>
      </c>
      <c r="I40" s="5" t="e">
        <f ca="1"/>
        <v>#NAME?</v>
      </c>
      <c r="J40" s="5" t="e">
        <f ca="1"/>
        <v>#NAME?</v>
      </c>
      <c r="K40" t="e">
        <f t="shared" ca="1" si="1"/>
        <v>#NAME?</v>
      </c>
      <c r="Z40" s="23"/>
      <c r="AA40" s="23"/>
      <c r="AB40" s="23"/>
      <c r="AC40" s="23"/>
      <c r="AD40" s="23"/>
      <c r="AE40" s="23"/>
      <c r="AF40" s="23"/>
      <c r="AJ40" s="23" t="e">
        <f ca="1"/>
        <v>#NAME?</v>
      </c>
      <c r="AK40" s="23" t="e">
        <f ca="1"/>
        <v>#NAME?</v>
      </c>
      <c r="AL40" s="23" t="e">
        <f ca="1"/>
        <v>#NAME?</v>
      </c>
      <c r="AM40" s="23" t="e">
        <f ca="1"/>
        <v>#NAME?</v>
      </c>
      <c r="AN40" s="23" t="e">
        <f ca="1"/>
        <v>#NAME?</v>
      </c>
      <c r="AO40" s="23" t="e">
        <f ca="1"/>
        <v>#NAME?</v>
      </c>
      <c r="AP40" s="23" t="e">
        <f ca="1"/>
        <v>#NAME?</v>
      </c>
      <c r="AS40" s="47" t="e">
        <f ca="1"/>
        <v>#NAME?</v>
      </c>
      <c r="AT40" s="47" t="e">
        <f ca="1"/>
        <v>#NAME?</v>
      </c>
      <c r="AU40" s="47" t="e">
        <f ca="1"/>
        <v>#NAME?</v>
      </c>
      <c r="AV40" s="47" t="e">
        <f ca="1"/>
        <v>#NAME?</v>
      </c>
      <c r="AW40" s="47" t="e">
        <f ca="1"/>
        <v>#NAME?</v>
      </c>
      <c r="AX40" s="47" t="e">
        <f ca="1"/>
        <v>#NAME?</v>
      </c>
      <c r="AY40" s="47" t="e">
        <f ca="1"/>
        <v>#NAME?</v>
      </c>
    </row>
    <row r="41" spans="3:51" x14ac:dyDescent="0.55000000000000004">
      <c r="C41" s="6">
        <f t="shared" si="7"/>
        <v>5</v>
      </c>
      <c r="D41" s="5" t="e">
        <f ca="1"/>
        <v>#NAME?</v>
      </c>
      <c r="E41" s="5" t="e">
        <f ca="1"/>
        <v>#NAME?</v>
      </c>
      <c r="F41" s="5" t="e">
        <f ca="1"/>
        <v>#NAME?</v>
      </c>
      <c r="G41" s="5" t="e">
        <f ca="1"/>
        <v>#NAME?</v>
      </c>
      <c r="H41" s="5" t="e">
        <f ca="1"/>
        <v>#NAME?</v>
      </c>
      <c r="I41" s="5" t="e">
        <f ca="1"/>
        <v>#NAME?</v>
      </c>
      <c r="J41" s="5" t="e">
        <f ca="1"/>
        <v>#NAME?</v>
      </c>
      <c r="K41" t="e">
        <f t="shared" ca="1" si="1"/>
        <v>#NAME?</v>
      </c>
      <c r="Z41" s="23"/>
      <c r="AA41" s="23"/>
      <c r="AB41" s="23"/>
      <c r="AC41" s="23"/>
      <c r="AD41" s="23"/>
      <c r="AE41" s="23"/>
      <c r="AF41" s="23"/>
      <c r="AJ41" s="23" t="e">
        <f ca="1"/>
        <v>#NAME?</v>
      </c>
      <c r="AK41" s="23" t="e">
        <f ca="1"/>
        <v>#NAME?</v>
      </c>
      <c r="AL41" s="23" t="e">
        <f ca="1"/>
        <v>#NAME?</v>
      </c>
      <c r="AM41" s="23" t="e">
        <f ca="1"/>
        <v>#NAME?</v>
      </c>
      <c r="AN41" s="23" t="e">
        <f ca="1"/>
        <v>#NAME?</v>
      </c>
      <c r="AO41" s="23" t="e">
        <f ca="1"/>
        <v>#NAME?</v>
      </c>
      <c r="AP41" s="23" t="e">
        <f ca="1"/>
        <v>#NAME?</v>
      </c>
    </row>
    <row r="42" spans="3:51" x14ac:dyDescent="0.55000000000000004">
      <c r="C42" s="6">
        <f t="shared" si="7"/>
        <v>5</v>
      </c>
      <c r="D42" s="5" t="e">
        <f ca="1"/>
        <v>#NAME?</v>
      </c>
      <c r="E42" s="5" t="e">
        <f ca="1"/>
        <v>#NAME?</v>
      </c>
      <c r="F42" s="5" t="e">
        <f ca="1"/>
        <v>#NAME?</v>
      </c>
      <c r="G42" s="5" t="e">
        <f ca="1"/>
        <v>#NAME?</v>
      </c>
      <c r="H42" s="5" t="e">
        <f ca="1"/>
        <v>#NAME?</v>
      </c>
      <c r="I42" s="5" t="e">
        <f ca="1"/>
        <v>#NAME?</v>
      </c>
      <c r="J42" s="5" t="e">
        <f ca="1"/>
        <v>#NAME?</v>
      </c>
      <c r="K42" t="e">
        <f t="shared" ca="1" si="1"/>
        <v>#NAME?</v>
      </c>
      <c r="Z42" s="23"/>
      <c r="AA42" s="23"/>
      <c r="AB42" s="23"/>
      <c r="AC42" s="23"/>
      <c r="AD42" s="23"/>
      <c r="AE42" s="23"/>
      <c r="AF42" s="23"/>
      <c r="AJ42" s="23" t="e">
        <f ca="1"/>
        <v>#NAME?</v>
      </c>
      <c r="AK42" s="23" t="e">
        <f ca="1"/>
        <v>#NAME?</v>
      </c>
      <c r="AL42" s="23" t="e">
        <f ca="1"/>
        <v>#NAME?</v>
      </c>
      <c r="AM42" s="23" t="e">
        <f ca="1"/>
        <v>#NAME?</v>
      </c>
      <c r="AN42" s="23" t="e">
        <f ca="1"/>
        <v>#NAME?</v>
      </c>
      <c r="AO42" s="23" t="e">
        <f ca="1"/>
        <v>#NAME?</v>
      </c>
      <c r="AP42" s="23" t="e">
        <f ca="1"/>
        <v>#NAME?</v>
      </c>
    </row>
    <row r="43" spans="3:51" x14ac:dyDescent="0.55000000000000004">
      <c r="C43" s="6">
        <f t="shared" ref="C43" si="12">C37+1</f>
        <v>6</v>
      </c>
      <c r="D43" s="7" t="e" cm="1">
        <f t="array" aca="1" ref="D43:J48" ca="1">_xlfn.LET(_xlpm.mStart, DATE(cal.year, C43, 1), _xlpm.wDay, WEEKDAY(_xlpm.mStart, 10+week.start), _xlfn.SEQUENCE(6,7,_xlpm.mStart-_xlpm.wDay+1))</f>
        <v>#NAME?</v>
      </c>
      <c r="E43" s="5" t="e">
        <f ca="1"/>
        <v>#NAME?</v>
      </c>
      <c r="F43" s="5" t="e">
        <f ca="1"/>
        <v>#NAME?</v>
      </c>
      <c r="G43" s="5" t="e">
        <f ca="1"/>
        <v>#NAME?</v>
      </c>
      <c r="H43" s="5" t="e">
        <f ca="1"/>
        <v>#NAME?</v>
      </c>
      <c r="I43" s="5" t="e">
        <f ca="1"/>
        <v>#NAME?</v>
      </c>
      <c r="J43" s="5" t="e">
        <f ca="1"/>
        <v>#NAME?</v>
      </c>
      <c r="K43" t="e">
        <f t="shared" ca="1" si="1"/>
        <v>#NAME?</v>
      </c>
      <c r="Z43" s="23"/>
      <c r="AA43" s="23"/>
      <c r="AB43" s="23"/>
      <c r="AC43" s="23"/>
      <c r="AD43" s="23"/>
      <c r="AE43" s="23"/>
      <c r="AF43" s="23"/>
    </row>
    <row r="44" spans="3:51" x14ac:dyDescent="0.55000000000000004">
      <c r="C44" s="6">
        <f t="shared" ref="C44" si="13">C43</f>
        <v>6</v>
      </c>
      <c r="D44" s="5" t="e">
        <f ca="1"/>
        <v>#NAME?</v>
      </c>
      <c r="E44" s="5" t="e">
        <f ca="1"/>
        <v>#NAME?</v>
      </c>
      <c r="F44" s="5" t="e">
        <f ca="1"/>
        <v>#NAME?</v>
      </c>
      <c r="G44" s="5" t="e">
        <f ca="1"/>
        <v>#NAME?</v>
      </c>
      <c r="H44" s="5" t="e">
        <f ca="1"/>
        <v>#NAME?</v>
      </c>
      <c r="I44" s="5" t="e">
        <f ca="1"/>
        <v>#NAME?</v>
      </c>
      <c r="J44" s="5" t="e">
        <f ca="1"/>
        <v>#NAME?</v>
      </c>
      <c r="K44" t="e">
        <f t="shared" ca="1" si="1"/>
        <v>#NAME?</v>
      </c>
      <c r="Z44" s="23"/>
      <c r="AA44" s="23"/>
      <c r="AB44" s="23"/>
      <c r="AC44" s="23"/>
      <c r="AD44" s="23"/>
      <c r="AE44" s="23"/>
      <c r="AF44" s="23"/>
    </row>
    <row r="45" spans="3:51" x14ac:dyDescent="0.55000000000000004">
      <c r="C45" s="6">
        <f t="shared" si="7"/>
        <v>6</v>
      </c>
      <c r="D45" s="5" t="e">
        <f ca="1"/>
        <v>#NAME?</v>
      </c>
      <c r="E45" s="5" t="e">
        <f ca="1"/>
        <v>#NAME?</v>
      </c>
      <c r="F45" s="5" t="e">
        <f ca="1"/>
        <v>#NAME?</v>
      </c>
      <c r="G45" s="5" t="e">
        <f ca="1"/>
        <v>#NAME?</v>
      </c>
      <c r="H45" s="5" t="e">
        <f ca="1"/>
        <v>#NAME?</v>
      </c>
      <c r="I45" s="5" t="e">
        <f ca="1"/>
        <v>#NAME?</v>
      </c>
      <c r="J45" s="5" t="e">
        <f ca="1"/>
        <v>#NAME?</v>
      </c>
      <c r="K45" t="e">
        <f t="shared" ref="K45:K76" ca="1" si="14">WEEKNUM(D45,10+week.start)</f>
        <v>#NAME?</v>
      </c>
      <c r="AI45" s="45">
        <f>AI29+1</f>
        <v>3</v>
      </c>
      <c r="AJ45" s="46" t="e" cm="1">
        <f t="array" aca="1" ref="AJ45:AP50" ca="1">_xlfn.LET(_xlpm.dt, _xlfn._xlws.FILTER(monthly.calendar, month.nums=AI45), IF(MONTH(_xlpm.dt)&lt;&gt;AI45,"",_xlpm.dt))</f>
        <v>#NAME?</v>
      </c>
      <c r="AK45" s="46" t="e">
        <f ca="1"/>
        <v>#NAME?</v>
      </c>
      <c r="AL45" s="46" t="e">
        <f ca="1"/>
        <v>#NAME?</v>
      </c>
      <c r="AM45" s="46" t="e">
        <f ca="1"/>
        <v>#NAME?</v>
      </c>
      <c r="AN45" s="46" t="e">
        <f ca="1"/>
        <v>#NAME?</v>
      </c>
      <c r="AO45" s="46" t="e">
        <f ca="1"/>
        <v>#NAME?</v>
      </c>
      <c r="AP45" s="46" t="e">
        <f ca="1"/>
        <v>#NAME?</v>
      </c>
      <c r="AS45" s="46" t="e" cm="1">
        <f t="array" aca="1" ref="AS45:AY56" ca="1">_xlfn.WRAPROWS(_xlfn.TOCOL(_xlfn.HSTACK(_xlfn.ANCHORARRAY(AJ45),_xlfn.ANCHORARRAY(AJ53))),7)</f>
        <v>#NAME?</v>
      </c>
      <c r="AT45" s="46" t="e">
        <f ca="1"/>
        <v>#NAME?</v>
      </c>
      <c r="AU45" s="46" t="e">
        <f ca="1"/>
        <v>#NAME?</v>
      </c>
      <c r="AV45" s="46" t="e">
        <f ca="1"/>
        <v>#NAME?</v>
      </c>
      <c r="AW45" s="46" t="e">
        <f ca="1"/>
        <v>#NAME?</v>
      </c>
      <c r="AX45" s="46" t="e">
        <f ca="1"/>
        <v>#NAME?</v>
      </c>
      <c r="AY45" s="46" t="e">
        <f ca="1"/>
        <v>#NAME?</v>
      </c>
    </row>
    <row r="46" spans="3:51" x14ac:dyDescent="0.55000000000000004">
      <c r="C46" s="6">
        <f t="shared" si="7"/>
        <v>6</v>
      </c>
      <c r="D46" s="5" t="e">
        <f ca="1"/>
        <v>#NAME?</v>
      </c>
      <c r="E46" s="5" t="e">
        <f ca="1"/>
        <v>#NAME?</v>
      </c>
      <c r="F46" s="5" t="e">
        <f ca="1"/>
        <v>#NAME?</v>
      </c>
      <c r="G46" s="5" t="e">
        <f ca="1"/>
        <v>#NAME?</v>
      </c>
      <c r="H46" s="5" t="e">
        <f ca="1"/>
        <v>#NAME?</v>
      </c>
      <c r="I46" s="5" t="e">
        <f ca="1"/>
        <v>#NAME?</v>
      </c>
      <c r="J46" s="5" t="e">
        <f ca="1"/>
        <v>#NAME?</v>
      </c>
      <c r="K46" t="e">
        <f t="shared" ca="1" si="14"/>
        <v>#NAME?</v>
      </c>
      <c r="AJ46" s="46" t="e">
        <f ca="1"/>
        <v>#NAME?</v>
      </c>
      <c r="AK46" s="46" t="e">
        <f ca="1"/>
        <v>#NAME?</v>
      </c>
      <c r="AL46" s="46" t="e">
        <f ca="1"/>
        <v>#NAME?</v>
      </c>
      <c r="AM46" s="46" t="e">
        <f ca="1"/>
        <v>#NAME?</v>
      </c>
      <c r="AN46" s="46" t="e">
        <f ca="1"/>
        <v>#NAME?</v>
      </c>
      <c r="AO46" s="46" t="e">
        <f ca="1"/>
        <v>#NAME?</v>
      </c>
      <c r="AP46" s="46" t="e">
        <f ca="1"/>
        <v>#NAME?</v>
      </c>
      <c r="AS46" s="47" t="e">
        <f ca="1"/>
        <v>#NAME?</v>
      </c>
      <c r="AT46" s="47" t="e">
        <f ca="1"/>
        <v>#NAME?</v>
      </c>
      <c r="AU46" s="47" t="e">
        <f ca="1"/>
        <v>#NAME?</v>
      </c>
      <c r="AV46" s="47" t="e">
        <f ca="1"/>
        <v>#NAME?</v>
      </c>
      <c r="AW46" s="47" t="e">
        <f ca="1"/>
        <v>#NAME?</v>
      </c>
      <c r="AX46" s="47" t="e">
        <f ca="1"/>
        <v>#NAME?</v>
      </c>
      <c r="AY46" s="47" t="e">
        <f ca="1"/>
        <v>#NAME?</v>
      </c>
    </row>
    <row r="47" spans="3:51" x14ac:dyDescent="0.55000000000000004">
      <c r="C47" s="6">
        <f t="shared" si="7"/>
        <v>6</v>
      </c>
      <c r="D47" s="5" t="e">
        <f ca="1"/>
        <v>#NAME?</v>
      </c>
      <c r="E47" s="5" t="e">
        <f ca="1"/>
        <v>#NAME?</v>
      </c>
      <c r="F47" s="5" t="e">
        <f ca="1"/>
        <v>#NAME?</v>
      </c>
      <c r="G47" s="5" t="e">
        <f ca="1"/>
        <v>#NAME?</v>
      </c>
      <c r="H47" s="5" t="e">
        <f ca="1"/>
        <v>#NAME?</v>
      </c>
      <c r="I47" s="5" t="e">
        <f ca="1"/>
        <v>#NAME?</v>
      </c>
      <c r="J47" s="5" t="e">
        <f ca="1"/>
        <v>#NAME?</v>
      </c>
      <c r="K47" t="e">
        <f t="shared" ca="1" si="14"/>
        <v>#NAME?</v>
      </c>
      <c r="AJ47" s="46" t="e">
        <f ca="1"/>
        <v>#NAME?</v>
      </c>
      <c r="AK47" s="46" t="e">
        <f ca="1"/>
        <v>#NAME?</v>
      </c>
      <c r="AL47" s="46" t="e">
        <f ca="1"/>
        <v>#NAME?</v>
      </c>
      <c r="AM47" s="46" t="e">
        <f ca="1"/>
        <v>#NAME?</v>
      </c>
      <c r="AN47" s="46" t="e">
        <f ca="1"/>
        <v>#NAME?</v>
      </c>
      <c r="AO47" s="46" t="e">
        <f ca="1"/>
        <v>#NAME?</v>
      </c>
      <c r="AP47" s="46" t="e">
        <f ca="1"/>
        <v>#NAME?</v>
      </c>
      <c r="AS47" s="46" t="e">
        <f ca="1"/>
        <v>#NAME?</v>
      </c>
      <c r="AT47" s="46" t="e">
        <f ca="1"/>
        <v>#NAME?</v>
      </c>
      <c r="AU47" s="46" t="e">
        <f ca="1"/>
        <v>#NAME?</v>
      </c>
      <c r="AV47" s="46" t="e">
        <f ca="1"/>
        <v>#NAME?</v>
      </c>
      <c r="AW47" s="46" t="e">
        <f ca="1"/>
        <v>#NAME?</v>
      </c>
      <c r="AX47" s="46" t="e">
        <f ca="1"/>
        <v>#NAME?</v>
      </c>
      <c r="AY47" s="46" t="e">
        <f ca="1"/>
        <v>#NAME?</v>
      </c>
    </row>
    <row r="48" spans="3:51" x14ac:dyDescent="0.55000000000000004">
      <c r="C48" s="6">
        <f t="shared" si="7"/>
        <v>6</v>
      </c>
      <c r="D48" s="5" t="e">
        <f ca="1"/>
        <v>#NAME?</v>
      </c>
      <c r="E48" s="5" t="e">
        <f ca="1"/>
        <v>#NAME?</v>
      </c>
      <c r="F48" s="5" t="e">
        <f ca="1"/>
        <v>#NAME?</v>
      </c>
      <c r="G48" s="5" t="e">
        <f ca="1"/>
        <v>#NAME?</v>
      </c>
      <c r="H48" s="5" t="e">
        <f ca="1"/>
        <v>#NAME?</v>
      </c>
      <c r="I48" s="5" t="e">
        <f ca="1"/>
        <v>#NAME?</v>
      </c>
      <c r="J48" s="5" t="e">
        <f ca="1"/>
        <v>#NAME?</v>
      </c>
      <c r="K48" t="e">
        <f t="shared" ca="1" si="14"/>
        <v>#NAME?</v>
      </c>
      <c r="AJ48" s="46" t="e">
        <f ca="1"/>
        <v>#NAME?</v>
      </c>
      <c r="AK48" s="46" t="e">
        <f ca="1"/>
        <v>#NAME?</v>
      </c>
      <c r="AL48" s="46" t="e">
        <f ca="1"/>
        <v>#NAME?</v>
      </c>
      <c r="AM48" s="46" t="e">
        <f ca="1"/>
        <v>#NAME?</v>
      </c>
      <c r="AN48" s="46" t="e">
        <f ca="1"/>
        <v>#NAME?</v>
      </c>
      <c r="AO48" s="46" t="e">
        <f ca="1"/>
        <v>#NAME?</v>
      </c>
      <c r="AP48" s="46" t="e">
        <f ca="1"/>
        <v>#NAME?</v>
      </c>
      <c r="AS48" s="47" t="e">
        <f ca="1"/>
        <v>#NAME?</v>
      </c>
      <c r="AT48" s="47" t="e">
        <f ca="1"/>
        <v>#NAME?</v>
      </c>
      <c r="AU48" s="47" t="e">
        <f ca="1"/>
        <v>#NAME?</v>
      </c>
      <c r="AV48" s="47" t="e">
        <f ca="1"/>
        <v>#NAME?</v>
      </c>
      <c r="AW48" s="47" t="e">
        <f ca="1"/>
        <v>#NAME?</v>
      </c>
      <c r="AX48" s="47" t="e">
        <f ca="1"/>
        <v>#NAME?</v>
      </c>
      <c r="AY48" s="47" t="e">
        <f ca="1"/>
        <v>#NAME?</v>
      </c>
    </row>
    <row r="49" spans="3:51" x14ac:dyDescent="0.55000000000000004">
      <c r="C49" s="6">
        <f t="shared" ref="C49" si="15">C43+1</f>
        <v>7</v>
      </c>
      <c r="D49" s="7" t="e" cm="1">
        <f t="array" aca="1" ref="D49:J54" ca="1">_xlfn.LET(_xlpm.mStart, DATE(cal.year, C49, 1), _xlpm.wDay, WEEKDAY(_xlpm.mStart, 10+week.start), _xlfn.SEQUENCE(6,7,_xlpm.mStart-_xlpm.wDay+1))</f>
        <v>#NAME?</v>
      </c>
      <c r="E49" s="5" t="e">
        <f ca="1"/>
        <v>#NAME?</v>
      </c>
      <c r="F49" s="5" t="e">
        <f ca="1"/>
        <v>#NAME?</v>
      </c>
      <c r="G49" s="5" t="e">
        <f ca="1"/>
        <v>#NAME?</v>
      </c>
      <c r="H49" s="5" t="e">
        <f ca="1"/>
        <v>#NAME?</v>
      </c>
      <c r="I49" s="5" t="e">
        <f ca="1"/>
        <v>#NAME?</v>
      </c>
      <c r="J49" s="5" t="e">
        <f ca="1"/>
        <v>#NAME?</v>
      </c>
      <c r="K49" t="e">
        <f t="shared" ca="1" si="14"/>
        <v>#NAME?</v>
      </c>
      <c r="AJ49" s="46" t="e">
        <f ca="1"/>
        <v>#NAME?</v>
      </c>
      <c r="AK49" s="46" t="e">
        <f ca="1"/>
        <v>#NAME?</v>
      </c>
      <c r="AL49" s="46" t="e">
        <f ca="1"/>
        <v>#NAME?</v>
      </c>
      <c r="AM49" s="46" t="e">
        <f ca="1"/>
        <v>#NAME?</v>
      </c>
      <c r="AN49" s="46" t="e">
        <f ca="1"/>
        <v>#NAME?</v>
      </c>
      <c r="AO49" s="46" t="e">
        <f ca="1"/>
        <v>#NAME?</v>
      </c>
      <c r="AP49" s="46" t="e">
        <f ca="1"/>
        <v>#NAME?</v>
      </c>
      <c r="AS49" s="46" t="e">
        <f ca="1"/>
        <v>#NAME?</v>
      </c>
      <c r="AT49" s="46" t="e">
        <f ca="1"/>
        <v>#NAME?</v>
      </c>
      <c r="AU49" s="46" t="e">
        <f ca="1"/>
        <v>#NAME?</v>
      </c>
      <c r="AV49" s="46" t="e">
        <f ca="1"/>
        <v>#NAME?</v>
      </c>
      <c r="AW49" s="46" t="e">
        <f ca="1"/>
        <v>#NAME?</v>
      </c>
      <c r="AX49" s="46" t="e">
        <f ca="1"/>
        <v>#NAME?</v>
      </c>
      <c r="AY49" s="46" t="e">
        <f ca="1"/>
        <v>#NAME?</v>
      </c>
    </row>
    <row r="50" spans="3:51" x14ac:dyDescent="0.55000000000000004">
      <c r="C50" s="6">
        <f t="shared" ref="C50" si="16">C49</f>
        <v>7</v>
      </c>
      <c r="D50" s="5" t="e">
        <f ca="1"/>
        <v>#NAME?</v>
      </c>
      <c r="E50" s="5" t="e">
        <f ca="1"/>
        <v>#NAME?</v>
      </c>
      <c r="F50" s="5" t="e">
        <f ca="1"/>
        <v>#NAME?</v>
      </c>
      <c r="G50" s="5" t="e">
        <f ca="1"/>
        <v>#NAME?</v>
      </c>
      <c r="H50" s="5" t="e">
        <f ca="1"/>
        <v>#NAME?</v>
      </c>
      <c r="I50" s="5" t="e">
        <f ca="1"/>
        <v>#NAME?</v>
      </c>
      <c r="J50" s="5" t="e">
        <f ca="1"/>
        <v>#NAME?</v>
      </c>
      <c r="K50" t="e">
        <f t="shared" ca="1" si="14"/>
        <v>#NAME?</v>
      </c>
      <c r="AJ50" s="46" t="e">
        <f ca="1"/>
        <v>#NAME?</v>
      </c>
      <c r="AK50" s="46" t="e">
        <f ca="1"/>
        <v>#NAME?</v>
      </c>
      <c r="AL50" s="46" t="e">
        <f ca="1"/>
        <v>#NAME?</v>
      </c>
      <c r="AM50" s="46" t="e">
        <f ca="1"/>
        <v>#NAME?</v>
      </c>
      <c r="AN50" s="46" t="e">
        <f ca="1"/>
        <v>#NAME?</v>
      </c>
      <c r="AO50" s="46" t="e">
        <f ca="1"/>
        <v>#NAME?</v>
      </c>
      <c r="AP50" s="46" t="e">
        <f ca="1"/>
        <v>#NAME?</v>
      </c>
      <c r="AS50" s="47" t="e">
        <f ca="1"/>
        <v>#NAME?</v>
      </c>
      <c r="AT50" s="47" t="e">
        <f ca="1"/>
        <v>#NAME?</v>
      </c>
      <c r="AU50" s="47" t="e">
        <f ca="1"/>
        <v>#NAME?</v>
      </c>
      <c r="AV50" s="47" t="e">
        <f ca="1"/>
        <v>#NAME?</v>
      </c>
      <c r="AW50" s="47" t="e">
        <f ca="1"/>
        <v>#NAME?</v>
      </c>
      <c r="AX50" s="47" t="e">
        <f ca="1"/>
        <v>#NAME?</v>
      </c>
      <c r="AY50" s="47" t="e">
        <f ca="1"/>
        <v>#NAME?</v>
      </c>
    </row>
    <row r="51" spans="3:51" x14ac:dyDescent="0.55000000000000004">
      <c r="C51" s="6">
        <f t="shared" si="7"/>
        <v>7</v>
      </c>
      <c r="D51" s="5" t="e">
        <f ca="1"/>
        <v>#NAME?</v>
      </c>
      <c r="E51" s="5" t="e">
        <f ca="1"/>
        <v>#NAME?</v>
      </c>
      <c r="F51" s="5" t="e">
        <f ca="1"/>
        <v>#NAME?</v>
      </c>
      <c r="G51" s="5" t="e">
        <f ca="1"/>
        <v>#NAME?</v>
      </c>
      <c r="H51" s="5" t="e">
        <f ca="1"/>
        <v>#NAME?</v>
      </c>
      <c r="I51" s="5" t="e">
        <f ca="1"/>
        <v>#NAME?</v>
      </c>
      <c r="J51" s="5" t="e">
        <f ca="1"/>
        <v>#NAME?</v>
      </c>
      <c r="K51" t="e">
        <f t="shared" ca="1" si="14"/>
        <v>#NAME?</v>
      </c>
      <c r="AS51" s="46" t="e">
        <f ca="1"/>
        <v>#NAME?</v>
      </c>
      <c r="AT51" s="46" t="e">
        <f ca="1"/>
        <v>#NAME?</v>
      </c>
      <c r="AU51" s="46" t="e">
        <f ca="1"/>
        <v>#NAME?</v>
      </c>
      <c r="AV51" s="46" t="e">
        <f ca="1"/>
        <v>#NAME?</v>
      </c>
      <c r="AW51" s="46" t="e">
        <f ca="1"/>
        <v>#NAME?</v>
      </c>
      <c r="AX51" s="46" t="e">
        <f ca="1"/>
        <v>#NAME?</v>
      </c>
      <c r="AY51" s="46" t="e">
        <f ca="1"/>
        <v>#NAME?</v>
      </c>
    </row>
    <row r="52" spans="3:51" x14ac:dyDescent="0.55000000000000004">
      <c r="C52" s="6">
        <f t="shared" si="7"/>
        <v>7</v>
      </c>
      <c r="D52" s="5" t="e">
        <f ca="1"/>
        <v>#NAME?</v>
      </c>
      <c r="E52" s="5" t="e">
        <f ca="1"/>
        <v>#NAME?</v>
      </c>
      <c r="F52" s="5" t="e">
        <f ca="1"/>
        <v>#NAME?</v>
      </c>
      <c r="G52" s="5" t="e">
        <f ca="1"/>
        <v>#NAME?</v>
      </c>
      <c r="H52" s="5" t="e">
        <f ca="1"/>
        <v>#NAME?</v>
      </c>
      <c r="I52" s="5" t="e">
        <f ca="1"/>
        <v>#NAME?</v>
      </c>
      <c r="J52" s="5" t="e">
        <f ca="1"/>
        <v>#NAME?</v>
      </c>
      <c r="K52" t="e">
        <f t="shared" ca="1" si="14"/>
        <v>#NAME?</v>
      </c>
      <c r="AS52" s="47" t="e">
        <f ca="1"/>
        <v>#NAME?</v>
      </c>
      <c r="AT52" s="47" t="e">
        <f ca="1"/>
        <v>#NAME?</v>
      </c>
      <c r="AU52" s="47" t="e">
        <f ca="1"/>
        <v>#NAME?</v>
      </c>
      <c r="AV52" s="47" t="e">
        <f ca="1"/>
        <v>#NAME?</v>
      </c>
      <c r="AW52" s="47" t="e">
        <f ca="1"/>
        <v>#NAME?</v>
      </c>
      <c r="AX52" s="47" t="e">
        <f ca="1"/>
        <v>#NAME?</v>
      </c>
      <c r="AY52" s="47" t="e">
        <f ca="1"/>
        <v>#NAME?</v>
      </c>
    </row>
    <row r="53" spans="3:51" x14ac:dyDescent="0.55000000000000004">
      <c r="C53" s="6">
        <f t="shared" si="7"/>
        <v>7</v>
      </c>
      <c r="D53" s="5" t="e">
        <f ca="1"/>
        <v>#NAME?</v>
      </c>
      <c r="E53" s="5" t="e">
        <f ca="1"/>
        <v>#NAME?</v>
      </c>
      <c r="F53" s="5" t="e">
        <f ca="1"/>
        <v>#NAME?</v>
      </c>
      <c r="G53" s="5" t="e">
        <f ca="1"/>
        <v>#NAME?</v>
      </c>
      <c r="H53" s="5" t="e">
        <f ca="1"/>
        <v>#NAME?</v>
      </c>
      <c r="I53" s="5" t="e">
        <f ca="1"/>
        <v>#NAME?</v>
      </c>
      <c r="J53" s="5" t="e">
        <f ca="1"/>
        <v>#NAME?</v>
      </c>
      <c r="K53" t="e">
        <f t="shared" ca="1" si="14"/>
        <v>#NAME?</v>
      </c>
      <c r="AJ53" s="23" t="e" cm="1">
        <f t="array" aca="1" ref="AJ53:AP58" ca="1">_xlfn.MAP(_xlfn.ANCHORARRAY(AJ45),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53" s="23" t="e">
        <f ca="1"/>
        <v>#NAME?</v>
      </c>
      <c r="AL53" s="23" t="e">
        <f ca="1"/>
        <v>#NAME?</v>
      </c>
      <c r="AM53" s="23" t="e">
        <f ca="1"/>
        <v>#NAME?</v>
      </c>
      <c r="AN53" s="23" t="e">
        <f ca="1"/>
        <v>#NAME?</v>
      </c>
      <c r="AO53" s="23" t="e">
        <f ca="1"/>
        <v>#NAME?</v>
      </c>
      <c r="AP53" s="23" t="e">
        <f ca="1"/>
        <v>#NAME?</v>
      </c>
      <c r="AS53" s="46" t="e">
        <f ca="1"/>
        <v>#NAME?</v>
      </c>
      <c r="AT53" s="46" t="e">
        <f ca="1"/>
        <v>#NAME?</v>
      </c>
      <c r="AU53" s="46" t="e">
        <f ca="1"/>
        <v>#NAME?</v>
      </c>
      <c r="AV53" s="46" t="e">
        <f ca="1"/>
        <v>#NAME?</v>
      </c>
      <c r="AW53" s="46" t="e">
        <f ca="1"/>
        <v>#NAME?</v>
      </c>
      <c r="AX53" s="46" t="e">
        <f ca="1"/>
        <v>#NAME?</v>
      </c>
      <c r="AY53" s="46" t="e">
        <f ca="1"/>
        <v>#NAME?</v>
      </c>
    </row>
    <row r="54" spans="3:51" x14ac:dyDescent="0.55000000000000004">
      <c r="C54" s="6">
        <f t="shared" si="7"/>
        <v>7</v>
      </c>
      <c r="D54" s="5" t="e">
        <f ca="1"/>
        <v>#NAME?</v>
      </c>
      <c r="E54" s="5" t="e">
        <f ca="1"/>
        <v>#NAME?</v>
      </c>
      <c r="F54" s="5" t="e">
        <f ca="1"/>
        <v>#NAME?</v>
      </c>
      <c r="G54" s="5" t="e">
        <f ca="1"/>
        <v>#NAME?</v>
      </c>
      <c r="H54" s="5" t="e">
        <f ca="1"/>
        <v>#NAME?</v>
      </c>
      <c r="I54" s="5" t="e">
        <f ca="1"/>
        <v>#NAME?</v>
      </c>
      <c r="J54" s="5" t="e">
        <f ca="1"/>
        <v>#NAME?</v>
      </c>
      <c r="K54" t="e">
        <f t="shared" ca="1" si="14"/>
        <v>#NAME?</v>
      </c>
      <c r="AJ54" s="23" t="e">
        <f ca="1"/>
        <v>#NAME?</v>
      </c>
      <c r="AK54" s="23" t="e">
        <f ca="1"/>
        <v>#NAME?</v>
      </c>
      <c r="AL54" s="23" t="e">
        <f ca="1"/>
        <v>#NAME?</v>
      </c>
      <c r="AM54" s="23" t="e">
        <f ca="1"/>
        <v>#NAME?</v>
      </c>
      <c r="AN54" s="23" t="e">
        <f ca="1"/>
        <v>#NAME?</v>
      </c>
      <c r="AO54" s="23" t="e">
        <f ca="1"/>
        <v>#NAME?</v>
      </c>
      <c r="AP54" s="23" t="e">
        <f ca="1"/>
        <v>#NAME?</v>
      </c>
      <c r="AS54" s="47" t="e">
        <f ca="1"/>
        <v>#NAME?</v>
      </c>
      <c r="AT54" s="47" t="e">
        <f ca="1"/>
        <v>#NAME?</v>
      </c>
      <c r="AU54" s="47" t="e">
        <f ca="1"/>
        <v>#NAME?</v>
      </c>
      <c r="AV54" s="47" t="e">
        <f ca="1"/>
        <v>#NAME?</v>
      </c>
      <c r="AW54" s="47" t="e">
        <f ca="1"/>
        <v>#NAME?</v>
      </c>
      <c r="AX54" s="47" t="e">
        <f ca="1"/>
        <v>#NAME?</v>
      </c>
      <c r="AY54" s="47" t="e">
        <f ca="1"/>
        <v>#NAME?</v>
      </c>
    </row>
    <row r="55" spans="3:51" x14ac:dyDescent="0.55000000000000004">
      <c r="C55" s="6">
        <f t="shared" ref="C55" si="17">C49+1</f>
        <v>8</v>
      </c>
      <c r="D55" s="7" t="e" cm="1">
        <f t="array" aca="1" ref="D55:J60" ca="1">_xlfn.LET(_xlpm.mStart, DATE(cal.year, C55, 1), _xlpm.wDay, WEEKDAY(_xlpm.mStart, 10+week.start), _xlfn.SEQUENCE(6,7,_xlpm.mStart-_xlpm.wDay+1))</f>
        <v>#NAME?</v>
      </c>
      <c r="E55" s="5" t="e">
        <f ca="1"/>
        <v>#NAME?</v>
      </c>
      <c r="F55" s="5" t="e">
        <f ca="1"/>
        <v>#NAME?</v>
      </c>
      <c r="G55" s="5" t="e">
        <f ca="1"/>
        <v>#NAME?</v>
      </c>
      <c r="H55" s="5" t="e">
        <f ca="1"/>
        <v>#NAME?</v>
      </c>
      <c r="I55" s="5" t="e">
        <f ca="1"/>
        <v>#NAME?</v>
      </c>
      <c r="J55" s="5" t="e">
        <f ca="1"/>
        <v>#NAME?</v>
      </c>
      <c r="K55" t="e">
        <f t="shared" ca="1" si="14"/>
        <v>#NAME?</v>
      </c>
      <c r="AJ55" s="23" t="e">
        <f ca="1"/>
        <v>#NAME?</v>
      </c>
      <c r="AK55" s="23" t="e">
        <f ca="1"/>
        <v>#NAME?</v>
      </c>
      <c r="AL55" s="23" t="e">
        <f ca="1"/>
        <v>#NAME?</v>
      </c>
      <c r="AM55" s="23" t="e">
        <f ca="1"/>
        <v>#NAME?</v>
      </c>
      <c r="AN55" s="23" t="e">
        <f ca="1"/>
        <v>#NAME?</v>
      </c>
      <c r="AO55" s="23" t="e">
        <f ca="1"/>
        <v>#NAME?</v>
      </c>
      <c r="AP55" s="23" t="e">
        <f ca="1"/>
        <v>#NAME?</v>
      </c>
      <c r="AS55" s="46" t="e">
        <f ca="1"/>
        <v>#NAME?</v>
      </c>
      <c r="AT55" s="46" t="e">
        <f ca="1"/>
        <v>#NAME?</v>
      </c>
      <c r="AU55" s="46" t="e">
        <f ca="1"/>
        <v>#NAME?</v>
      </c>
      <c r="AV55" s="46" t="e">
        <f ca="1"/>
        <v>#NAME?</v>
      </c>
      <c r="AW55" s="46" t="e">
        <f ca="1"/>
        <v>#NAME?</v>
      </c>
      <c r="AX55" s="46" t="e">
        <f ca="1"/>
        <v>#NAME?</v>
      </c>
      <c r="AY55" s="46" t="e">
        <f ca="1"/>
        <v>#NAME?</v>
      </c>
    </row>
    <row r="56" spans="3:51" x14ac:dyDescent="0.55000000000000004">
      <c r="C56" s="6">
        <f t="shared" ref="C56:C74" si="18">C55</f>
        <v>8</v>
      </c>
      <c r="D56" s="5" t="e">
        <f ca="1"/>
        <v>#NAME?</v>
      </c>
      <c r="E56" s="5" t="e">
        <f ca="1"/>
        <v>#NAME?</v>
      </c>
      <c r="F56" s="5" t="e">
        <f ca="1"/>
        <v>#NAME?</v>
      </c>
      <c r="G56" s="5" t="e">
        <f ca="1"/>
        <v>#NAME?</v>
      </c>
      <c r="H56" s="5" t="e">
        <f ca="1"/>
        <v>#NAME?</v>
      </c>
      <c r="I56" s="5" t="e">
        <f ca="1"/>
        <v>#NAME?</v>
      </c>
      <c r="J56" s="5" t="e">
        <f ca="1"/>
        <v>#NAME?</v>
      </c>
      <c r="K56" t="e">
        <f t="shared" ca="1" si="14"/>
        <v>#NAME?</v>
      </c>
      <c r="AJ56" s="23" t="e">
        <f ca="1"/>
        <v>#NAME?</v>
      </c>
      <c r="AK56" s="23" t="e">
        <f ca="1"/>
        <v>#NAME?</v>
      </c>
      <c r="AL56" s="23" t="e">
        <f ca="1"/>
        <v>#NAME?</v>
      </c>
      <c r="AM56" s="23" t="e">
        <f ca="1"/>
        <v>#NAME?</v>
      </c>
      <c r="AN56" s="23" t="e">
        <f ca="1"/>
        <v>#NAME?</v>
      </c>
      <c r="AO56" s="23" t="e">
        <f ca="1"/>
        <v>#NAME?</v>
      </c>
      <c r="AP56" s="23" t="e">
        <f ca="1"/>
        <v>#NAME?</v>
      </c>
      <c r="AS56" s="47" t="e">
        <f ca="1"/>
        <v>#NAME?</v>
      </c>
      <c r="AT56" s="47" t="e">
        <f ca="1"/>
        <v>#NAME?</v>
      </c>
      <c r="AU56" s="47" t="e">
        <f ca="1"/>
        <v>#NAME?</v>
      </c>
      <c r="AV56" s="47" t="e">
        <f ca="1"/>
        <v>#NAME?</v>
      </c>
      <c r="AW56" s="47" t="e">
        <f ca="1"/>
        <v>#NAME?</v>
      </c>
      <c r="AX56" s="47" t="e">
        <f ca="1"/>
        <v>#NAME?</v>
      </c>
      <c r="AY56" s="47" t="e">
        <f ca="1"/>
        <v>#NAME?</v>
      </c>
    </row>
    <row r="57" spans="3:51" x14ac:dyDescent="0.55000000000000004">
      <c r="C57" s="6">
        <f t="shared" si="7"/>
        <v>8</v>
      </c>
      <c r="D57" s="5" t="e">
        <f ca="1"/>
        <v>#NAME?</v>
      </c>
      <c r="E57" s="5" t="e">
        <f ca="1"/>
        <v>#NAME?</v>
      </c>
      <c r="F57" s="5" t="e">
        <f ca="1"/>
        <v>#NAME?</v>
      </c>
      <c r="G57" s="5" t="e">
        <f ca="1"/>
        <v>#NAME?</v>
      </c>
      <c r="H57" s="5" t="e">
        <f ca="1"/>
        <v>#NAME?</v>
      </c>
      <c r="I57" s="5" t="e">
        <f ca="1"/>
        <v>#NAME?</v>
      </c>
      <c r="J57" s="5" t="e">
        <f ca="1"/>
        <v>#NAME?</v>
      </c>
      <c r="K57" t="e">
        <f t="shared" ca="1" si="14"/>
        <v>#NAME?</v>
      </c>
      <c r="AJ57" s="23" t="e">
        <f ca="1"/>
        <v>#NAME?</v>
      </c>
      <c r="AK57" s="23" t="e">
        <f ca="1"/>
        <v>#NAME?</v>
      </c>
      <c r="AL57" s="23" t="e">
        <f ca="1"/>
        <v>#NAME?</v>
      </c>
      <c r="AM57" s="23" t="e">
        <f ca="1"/>
        <v>#NAME?</v>
      </c>
      <c r="AN57" s="23" t="e">
        <f ca="1"/>
        <v>#NAME?</v>
      </c>
      <c r="AO57" s="23" t="e">
        <f ca="1"/>
        <v>#NAME?</v>
      </c>
      <c r="AP57" s="23" t="e">
        <f ca="1"/>
        <v>#NAME?</v>
      </c>
    </row>
    <row r="58" spans="3:51" x14ac:dyDescent="0.55000000000000004">
      <c r="C58" s="6">
        <f t="shared" si="7"/>
        <v>8</v>
      </c>
      <c r="D58" s="5" t="e">
        <f ca="1"/>
        <v>#NAME?</v>
      </c>
      <c r="E58" s="5" t="e">
        <f ca="1"/>
        <v>#NAME?</v>
      </c>
      <c r="F58" s="5" t="e">
        <f ca="1"/>
        <v>#NAME?</v>
      </c>
      <c r="G58" s="5" t="e">
        <f ca="1"/>
        <v>#NAME?</v>
      </c>
      <c r="H58" s="5" t="e">
        <f ca="1"/>
        <v>#NAME?</v>
      </c>
      <c r="I58" s="5" t="e">
        <f ca="1"/>
        <v>#NAME?</v>
      </c>
      <c r="J58" s="5" t="e">
        <f ca="1"/>
        <v>#NAME?</v>
      </c>
      <c r="K58" t="e">
        <f t="shared" ca="1" si="14"/>
        <v>#NAME?</v>
      </c>
      <c r="AJ58" s="23" t="e">
        <f ca="1"/>
        <v>#NAME?</v>
      </c>
      <c r="AK58" s="23" t="e">
        <f ca="1"/>
        <v>#NAME?</v>
      </c>
      <c r="AL58" s="23" t="e">
        <f ca="1"/>
        <v>#NAME?</v>
      </c>
      <c r="AM58" s="23" t="e">
        <f ca="1"/>
        <v>#NAME?</v>
      </c>
      <c r="AN58" s="23" t="e">
        <f ca="1"/>
        <v>#NAME?</v>
      </c>
      <c r="AO58" s="23" t="e">
        <f ca="1"/>
        <v>#NAME?</v>
      </c>
      <c r="AP58" s="23" t="e">
        <f ca="1"/>
        <v>#NAME?</v>
      </c>
    </row>
    <row r="59" spans="3:51" x14ac:dyDescent="0.55000000000000004">
      <c r="C59" s="6">
        <f t="shared" si="7"/>
        <v>8</v>
      </c>
      <c r="D59" s="5" t="e">
        <f ca="1"/>
        <v>#NAME?</v>
      </c>
      <c r="E59" s="5" t="e">
        <f ca="1"/>
        <v>#NAME?</v>
      </c>
      <c r="F59" s="5" t="e">
        <f ca="1"/>
        <v>#NAME?</v>
      </c>
      <c r="G59" s="5" t="e">
        <f ca="1"/>
        <v>#NAME?</v>
      </c>
      <c r="H59" s="5" t="e">
        <f ca="1"/>
        <v>#NAME?</v>
      </c>
      <c r="I59" s="5" t="e">
        <f ca="1"/>
        <v>#NAME?</v>
      </c>
      <c r="J59" s="5" t="e">
        <f ca="1"/>
        <v>#NAME?</v>
      </c>
      <c r="K59" t="e">
        <f t="shared" ca="1" si="14"/>
        <v>#NAME?</v>
      </c>
    </row>
    <row r="60" spans="3:51" x14ac:dyDescent="0.55000000000000004">
      <c r="C60" s="6">
        <f t="shared" si="7"/>
        <v>8</v>
      </c>
      <c r="D60" s="5" t="e">
        <f ca="1"/>
        <v>#NAME?</v>
      </c>
      <c r="E60" s="5" t="e">
        <f ca="1"/>
        <v>#NAME?</v>
      </c>
      <c r="F60" s="5" t="e">
        <f ca="1"/>
        <v>#NAME?</v>
      </c>
      <c r="G60" s="5" t="e">
        <f ca="1"/>
        <v>#NAME?</v>
      </c>
      <c r="H60" s="5" t="e">
        <f ca="1"/>
        <v>#NAME?</v>
      </c>
      <c r="I60" s="5" t="e">
        <f ca="1"/>
        <v>#NAME?</v>
      </c>
      <c r="J60" s="5" t="e">
        <f ca="1"/>
        <v>#NAME?</v>
      </c>
      <c r="K60" t="e">
        <f t="shared" ca="1" si="14"/>
        <v>#NAME?</v>
      </c>
    </row>
    <row r="61" spans="3:51" x14ac:dyDescent="0.55000000000000004">
      <c r="C61" s="6">
        <f t="shared" ref="C61:C79" si="19">C55+1</f>
        <v>9</v>
      </c>
      <c r="D61" s="7" t="e" cm="1">
        <f t="array" aca="1" ref="D61:J66" ca="1">_xlfn.LET(_xlpm.mStart, DATE(cal.year, C61, 1), _xlpm.wDay, WEEKDAY(_xlpm.mStart, 10+week.start), _xlfn.SEQUENCE(6,7,_xlpm.mStart-_xlpm.wDay+1))</f>
        <v>#NAME?</v>
      </c>
      <c r="E61" s="5" t="e">
        <f ca="1"/>
        <v>#NAME?</v>
      </c>
      <c r="F61" s="5" t="e">
        <f ca="1"/>
        <v>#NAME?</v>
      </c>
      <c r="G61" s="5" t="e">
        <f ca="1"/>
        <v>#NAME?</v>
      </c>
      <c r="H61" s="5" t="e">
        <f ca="1"/>
        <v>#NAME?</v>
      </c>
      <c r="I61" s="5" t="e">
        <f ca="1"/>
        <v>#NAME?</v>
      </c>
      <c r="J61" s="5" t="e">
        <f ca="1"/>
        <v>#NAME?</v>
      </c>
      <c r="K61" t="e">
        <f t="shared" ca="1" si="14"/>
        <v>#NAME?</v>
      </c>
      <c r="AI61" s="45">
        <f>AI45+1</f>
        <v>4</v>
      </c>
      <c r="AJ61" s="46" t="e" cm="1">
        <f t="array" aca="1" ref="AJ61:AP66" ca="1">_xlfn.LET(_xlpm.dt, _xlfn._xlws.FILTER(monthly.calendar, month.nums=AI61), IF(MONTH(_xlpm.dt)&lt;&gt;AI61,"",_xlpm.dt))</f>
        <v>#NAME?</v>
      </c>
      <c r="AK61" s="46" t="e">
        <f ca="1"/>
        <v>#NAME?</v>
      </c>
      <c r="AL61" s="46" t="e">
        <f ca="1"/>
        <v>#NAME?</v>
      </c>
      <c r="AM61" s="46" t="e">
        <f ca="1"/>
        <v>#NAME?</v>
      </c>
      <c r="AN61" s="46" t="e">
        <f ca="1"/>
        <v>#NAME?</v>
      </c>
      <c r="AO61" s="46" t="e">
        <f ca="1"/>
        <v>#NAME?</v>
      </c>
      <c r="AP61" s="46" t="e">
        <f ca="1"/>
        <v>#NAME?</v>
      </c>
      <c r="AS61" s="46" t="e" cm="1">
        <f t="array" aca="1" ref="AS61:AY72" ca="1">_xlfn.WRAPROWS(_xlfn.TOCOL(_xlfn.HSTACK(_xlfn.ANCHORARRAY(AJ61),_xlfn.ANCHORARRAY(AJ69))),7)</f>
        <v>#NAME?</v>
      </c>
      <c r="AT61" s="46" t="e">
        <f ca="1"/>
        <v>#NAME?</v>
      </c>
      <c r="AU61" s="46" t="e">
        <f ca="1"/>
        <v>#NAME?</v>
      </c>
      <c r="AV61" s="46" t="e">
        <f ca="1"/>
        <v>#NAME?</v>
      </c>
      <c r="AW61" s="46" t="e">
        <f ca="1"/>
        <v>#NAME?</v>
      </c>
      <c r="AX61" s="46" t="e">
        <f ca="1"/>
        <v>#NAME?</v>
      </c>
      <c r="AY61" s="46" t="e">
        <f ca="1"/>
        <v>#NAME?</v>
      </c>
    </row>
    <row r="62" spans="3:51" x14ac:dyDescent="0.55000000000000004">
      <c r="C62" s="6">
        <f t="shared" si="18"/>
        <v>9</v>
      </c>
      <c r="D62" s="5" t="e">
        <f ca="1"/>
        <v>#NAME?</v>
      </c>
      <c r="E62" s="5" t="e">
        <f ca="1"/>
        <v>#NAME?</v>
      </c>
      <c r="F62" s="5" t="e">
        <f ca="1"/>
        <v>#NAME?</v>
      </c>
      <c r="G62" s="5" t="e">
        <f ca="1"/>
        <v>#NAME?</v>
      </c>
      <c r="H62" s="5" t="e">
        <f ca="1"/>
        <v>#NAME?</v>
      </c>
      <c r="I62" s="5" t="e">
        <f ca="1"/>
        <v>#NAME?</v>
      </c>
      <c r="J62" s="5" t="e">
        <f ca="1"/>
        <v>#NAME?</v>
      </c>
      <c r="K62" t="e">
        <f t="shared" ca="1" si="14"/>
        <v>#NAME?</v>
      </c>
      <c r="AJ62" s="46" t="e">
        <f ca="1"/>
        <v>#NAME?</v>
      </c>
      <c r="AK62" s="46" t="e">
        <f ca="1"/>
        <v>#NAME?</v>
      </c>
      <c r="AL62" s="46" t="e">
        <f ca="1"/>
        <v>#NAME?</v>
      </c>
      <c r="AM62" s="46" t="e">
        <f ca="1"/>
        <v>#NAME?</v>
      </c>
      <c r="AN62" s="46" t="e">
        <f ca="1"/>
        <v>#NAME?</v>
      </c>
      <c r="AO62" s="46" t="e">
        <f ca="1"/>
        <v>#NAME?</v>
      </c>
      <c r="AP62" s="46" t="e">
        <f ca="1"/>
        <v>#NAME?</v>
      </c>
      <c r="AS62" s="47" t="e">
        <f ca="1"/>
        <v>#NAME?</v>
      </c>
      <c r="AT62" s="47" t="e">
        <f ca="1"/>
        <v>#NAME?</v>
      </c>
      <c r="AU62" s="47" t="e">
        <f ca="1"/>
        <v>#NAME?</v>
      </c>
      <c r="AV62" s="47" t="e">
        <f ca="1"/>
        <v>#NAME?</v>
      </c>
      <c r="AW62" s="47" t="e">
        <f ca="1"/>
        <v>#NAME?</v>
      </c>
      <c r="AX62" s="47" t="e">
        <f ca="1"/>
        <v>#NAME?</v>
      </c>
      <c r="AY62" s="47" t="e">
        <f ca="1"/>
        <v>#NAME?</v>
      </c>
    </row>
    <row r="63" spans="3:51" x14ac:dyDescent="0.55000000000000004">
      <c r="C63" s="6">
        <f t="shared" si="7"/>
        <v>9</v>
      </c>
      <c r="D63" s="5" t="e">
        <f ca="1"/>
        <v>#NAME?</v>
      </c>
      <c r="E63" s="5" t="e">
        <f ca="1"/>
        <v>#NAME?</v>
      </c>
      <c r="F63" s="5" t="e">
        <f ca="1"/>
        <v>#NAME?</v>
      </c>
      <c r="G63" s="5" t="e">
        <f ca="1"/>
        <v>#NAME?</v>
      </c>
      <c r="H63" s="5" t="e">
        <f ca="1"/>
        <v>#NAME?</v>
      </c>
      <c r="I63" s="5" t="e">
        <f ca="1"/>
        <v>#NAME?</v>
      </c>
      <c r="J63" s="5" t="e">
        <f ca="1"/>
        <v>#NAME?</v>
      </c>
      <c r="K63" t="e">
        <f t="shared" ca="1" si="14"/>
        <v>#NAME?</v>
      </c>
      <c r="AJ63" s="46" t="e">
        <f ca="1"/>
        <v>#NAME?</v>
      </c>
      <c r="AK63" s="46" t="e">
        <f ca="1"/>
        <v>#NAME?</v>
      </c>
      <c r="AL63" s="46" t="e">
        <f ca="1"/>
        <v>#NAME?</v>
      </c>
      <c r="AM63" s="46" t="e">
        <f ca="1"/>
        <v>#NAME?</v>
      </c>
      <c r="AN63" s="46" t="e">
        <f ca="1"/>
        <v>#NAME?</v>
      </c>
      <c r="AO63" s="46" t="e">
        <f ca="1"/>
        <v>#NAME?</v>
      </c>
      <c r="AP63" s="46" t="e">
        <f ca="1"/>
        <v>#NAME?</v>
      </c>
      <c r="AS63" s="46" t="e">
        <f ca="1"/>
        <v>#NAME?</v>
      </c>
      <c r="AT63" s="46" t="e">
        <f ca="1"/>
        <v>#NAME?</v>
      </c>
      <c r="AU63" s="46" t="e">
        <f ca="1"/>
        <v>#NAME?</v>
      </c>
      <c r="AV63" s="46" t="e">
        <f ca="1"/>
        <v>#NAME?</v>
      </c>
      <c r="AW63" s="46" t="e">
        <f ca="1"/>
        <v>#NAME?</v>
      </c>
      <c r="AX63" s="46" t="e">
        <f ca="1"/>
        <v>#NAME?</v>
      </c>
      <c r="AY63" s="46" t="e">
        <f ca="1"/>
        <v>#NAME?</v>
      </c>
    </row>
    <row r="64" spans="3:51" x14ac:dyDescent="0.55000000000000004">
      <c r="C64" s="6">
        <f t="shared" si="7"/>
        <v>9</v>
      </c>
      <c r="D64" s="5" t="e">
        <f ca="1"/>
        <v>#NAME?</v>
      </c>
      <c r="E64" s="5" t="e">
        <f ca="1"/>
        <v>#NAME?</v>
      </c>
      <c r="F64" s="5" t="e">
        <f ca="1"/>
        <v>#NAME?</v>
      </c>
      <c r="G64" s="5" t="e">
        <f ca="1"/>
        <v>#NAME?</v>
      </c>
      <c r="H64" s="5" t="e">
        <f ca="1"/>
        <v>#NAME?</v>
      </c>
      <c r="I64" s="5" t="e">
        <f ca="1"/>
        <v>#NAME?</v>
      </c>
      <c r="J64" s="5" t="e">
        <f ca="1"/>
        <v>#NAME?</v>
      </c>
      <c r="K64" t="e">
        <f t="shared" ca="1" si="14"/>
        <v>#NAME?</v>
      </c>
      <c r="AJ64" s="46" t="e">
        <f ca="1"/>
        <v>#NAME?</v>
      </c>
      <c r="AK64" s="46" t="e">
        <f ca="1"/>
        <v>#NAME?</v>
      </c>
      <c r="AL64" s="46" t="e">
        <f ca="1"/>
        <v>#NAME?</v>
      </c>
      <c r="AM64" s="46" t="e">
        <f ca="1"/>
        <v>#NAME?</v>
      </c>
      <c r="AN64" s="46" t="e">
        <f ca="1"/>
        <v>#NAME?</v>
      </c>
      <c r="AO64" s="46" t="e">
        <f ca="1"/>
        <v>#NAME?</v>
      </c>
      <c r="AP64" s="46" t="e">
        <f ca="1"/>
        <v>#NAME?</v>
      </c>
      <c r="AS64" s="47" t="e">
        <f ca="1"/>
        <v>#NAME?</v>
      </c>
      <c r="AT64" s="47" t="e">
        <f ca="1"/>
        <v>#NAME?</v>
      </c>
      <c r="AU64" s="47" t="e">
        <f ca="1"/>
        <v>#NAME?</v>
      </c>
      <c r="AV64" s="47" t="e">
        <f ca="1"/>
        <v>#NAME?</v>
      </c>
      <c r="AW64" s="47" t="e">
        <f ca="1"/>
        <v>#NAME?</v>
      </c>
      <c r="AX64" s="47" t="e">
        <f ca="1"/>
        <v>#NAME?</v>
      </c>
      <c r="AY64" s="47" t="e">
        <f ca="1"/>
        <v>#NAME?</v>
      </c>
    </row>
    <row r="65" spans="3:51" x14ac:dyDescent="0.55000000000000004">
      <c r="C65" s="6">
        <f t="shared" si="7"/>
        <v>9</v>
      </c>
      <c r="D65" s="5" t="e">
        <f ca="1"/>
        <v>#NAME?</v>
      </c>
      <c r="E65" s="5" t="e">
        <f ca="1"/>
        <v>#NAME?</v>
      </c>
      <c r="F65" s="5" t="e">
        <f ca="1"/>
        <v>#NAME?</v>
      </c>
      <c r="G65" s="5" t="e">
        <f ca="1"/>
        <v>#NAME?</v>
      </c>
      <c r="H65" s="5" t="e">
        <f ca="1"/>
        <v>#NAME?</v>
      </c>
      <c r="I65" s="5" t="e">
        <f ca="1"/>
        <v>#NAME?</v>
      </c>
      <c r="J65" s="5" t="e">
        <f ca="1"/>
        <v>#NAME?</v>
      </c>
      <c r="K65" t="e">
        <f t="shared" ca="1" si="14"/>
        <v>#NAME?</v>
      </c>
      <c r="AJ65" s="46" t="e">
        <f ca="1"/>
        <v>#NAME?</v>
      </c>
      <c r="AK65" s="46" t="e">
        <f ca="1"/>
        <v>#NAME?</v>
      </c>
      <c r="AL65" s="46" t="e">
        <f ca="1"/>
        <v>#NAME?</v>
      </c>
      <c r="AM65" s="46" t="e">
        <f ca="1"/>
        <v>#NAME?</v>
      </c>
      <c r="AN65" s="46" t="e">
        <f ca="1"/>
        <v>#NAME?</v>
      </c>
      <c r="AO65" s="46" t="e">
        <f ca="1"/>
        <v>#NAME?</v>
      </c>
      <c r="AP65" s="46" t="e">
        <f ca="1"/>
        <v>#NAME?</v>
      </c>
      <c r="AS65" s="46" t="e">
        <f ca="1"/>
        <v>#NAME?</v>
      </c>
      <c r="AT65" s="46" t="e">
        <f ca="1"/>
        <v>#NAME?</v>
      </c>
      <c r="AU65" s="46" t="e">
        <f ca="1"/>
        <v>#NAME?</v>
      </c>
      <c r="AV65" s="46" t="e">
        <f ca="1"/>
        <v>#NAME?</v>
      </c>
      <c r="AW65" s="46" t="e">
        <f ca="1"/>
        <v>#NAME?</v>
      </c>
      <c r="AX65" s="46" t="e">
        <f ca="1"/>
        <v>#NAME?</v>
      </c>
      <c r="AY65" s="46" t="e">
        <f ca="1"/>
        <v>#NAME?</v>
      </c>
    </row>
    <row r="66" spans="3:51" x14ac:dyDescent="0.55000000000000004">
      <c r="C66" s="6">
        <f t="shared" si="7"/>
        <v>9</v>
      </c>
      <c r="D66" s="5" t="e">
        <f ca="1"/>
        <v>#NAME?</v>
      </c>
      <c r="E66" s="5" t="e">
        <f ca="1"/>
        <v>#NAME?</v>
      </c>
      <c r="F66" s="5" t="e">
        <f ca="1"/>
        <v>#NAME?</v>
      </c>
      <c r="G66" s="5" t="e">
        <f ca="1"/>
        <v>#NAME?</v>
      </c>
      <c r="H66" s="5" t="e">
        <f ca="1"/>
        <v>#NAME?</v>
      </c>
      <c r="I66" s="5" t="e">
        <f ca="1"/>
        <v>#NAME?</v>
      </c>
      <c r="J66" s="5" t="e">
        <f ca="1"/>
        <v>#NAME?</v>
      </c>
      <c r="K66" t="e">
        <f t="shared" ca="1" si="14"/>
        <v>#NAME?</v>
      </c>
      <c r="AJ66" s="46" t="e">
        <f ca="1"/>
        <v>#NAME?</v>
      </c>
      <c r="AK66" s="46" t="e">
        <f ca="1"/>
        <v>#NAME?</v>
      </c>
      <c r="AL66" s="46" t="e">
        <f ca="1"/>
        <v>#NAME?</v>
      </c>
      <c r="AM66" s="46" t="e">
        <f ca="1"/>
        <v>#NAME?</v>
      </c>
      <c r="AN66" s="46" t="e">
        <f ca="1"/>
        <v>#NAME?</v>
      </c>
      <c r="AO66" s="46" t="e">
        <f ca="1"/>
        <v>#NAME?</v>
      </c>
      <c r="AP66" s="46" t="e">
        <f ca="1"/>
        <v>#NAME?</v>
      </c>
      <c r="AS66" s="47" t="e">
        <f ca="1"/>
        <v>#NAME?</v>
      </c>
      <c r="AT66" s="47" t="e">
        <f ca="1"/>
        <v>#NAME?</v>
      </c>
      <c r="AU66" s="47" t="e">
        <f ca="1"/>
        <v>#NAME?</v>
      </c>
      <c r="AV66" s="47" t="e">
        <f ca="1"/>
        <v>#NAME?</v>
      </c>
      <c r="AW66" s="47" t="e">
        <f ca="1"/>
        <v>#NAME?</v>
      </c>
      <c r="AX66" s="47" t="e">
        <f ca="1"/>
        <v>#NAME?</v>
      </c>
      <c r="AY66" s="47" t="e">
        <f ca="1"/>
        <v>#NAME?</v>
      </c>
    </row>
    <row r="67" spans="3:51" x14ac:dyDescent="0.55000000000000004">
      <c r="C67" s="6">
        <f t="shared" si="19"/>
        <v>10</v>
      </c>
      <c r="D67" s="7" t="e" cm="1">
        <f t="array" aca="1" ref="D67:J72" ca="1">_xlfn.LET(_xlpm.mStart, DATE(cal.year, C67, 1), _xlpm.wDay, WEEKDAY(_xlpm.mStart, 10+week.start), _xlfn.SEQUENCE(6,7,_xlpm.mStart-_xlpm.wDay+1))</f>
        <v>#NAME?</v>
      </c>
      <c r="E67" s="5" t="e">
        <f ca="1"/>
        <v>#NAME?</v>
      </c>
      <c r="F67" s="5" t="e">
        <f ca="1"/>
        <v>#NAME?</v>
      </c>
      <c r="G67" s="5" t="e">
        <f ca="1"/>
        <v>#NAME?</v>
      </c>
      <c r="H67" s="5" t="e">
        <f ca="1"/>
        <v>#NAME?</v>
      </c>
      <c r="I67" s="5" t="e">
        <f ca="1"/>
        <v>#NAME?</v>
      </c>
      <c r="J67" s="5" t="e">
        <f ca="1"/>
        <v>#NAME?</v>
      </c>
      <c r="K67" t="e">
        <f t="shared" ca="1" si="14"/>
        <v>#NAME?</v>
      </c>
      <c r="AS67" s="46" t="e">
        <f ca="1"/>
        <v>#NAME?</v>
      </c>
      <c r="AT67" s="46" t="e">
        <f ca="1"/>
        <v>#NAME?</v>
      </c>
      <c r="AU67" s="46" t="e">
        <f ca="1"/>
        <v>#NAME?</v>
      </c>
      <c r="AV67" s="46" t="e">
        <f ca="1"/>
        <v>#NAME?</v>
      </c>
      <c r="AW67" s="46" t="e">
        <f ca="1"/>
        <v>#NAME?</v>
      </c>
      <c r="AX67" s="46" t="e">
        <f ca="1"/>
        <v>#NAME?</v>
      </c>
      <c r="AY67" s="46" t="e">
        <f ca="1"/>
        <v>#NAME?</v>
      </c>
    </row>
    <row r="68" spans="3:51" x14ac:dyDescent="0.55000000000000004">
      <c r="C68" s="6">
        <f t="shared" si="18"/>
        <v>10</v>
      </c>
      <c r="D68" s="5" t="e">
        <f ca="1"/>
        <v>#NAME?</v>
      </c>
      <c r="E68" s="5" t="e">
        <f ca="1"/>
        <v>#NAME?</v>
      </c>
      <c r="F68" s="5" t="e">
        <f ca="1"/>
        <v>#NAME?</v>
      </c>
      <c r="G68" s="5" t="e">
        <f ca="1"/>
        <v>#NAME?</v>
      </c>
      <c r="H68" s="5" t="e">
        <f ca="1"/>
        <v>#NAME?</v>
      </c>
      <c r="I68" s="5" t="e">
        <f ca="1"/>
        <v>#NAME?</v>
      </c>
      <c r="J68" s="5" t="e">
        <f ca="1"/>
        <v>#NAME?</v>
      </c>
      <c r="K68" t="e">
        <f t="shared" ca="1" si="14"/>
        <v>#NAME?</v>
      </c>
      <c r="AS68" s="47" t="e">
        <f ca="1"/>
        <v>#NAME?</v>
      </c>
      <c r="AT68" s="47" t="e">
        <f ca="1"/>
        <v>#NAME?</v>
      </c>
      <c r="AU68" s="47" t="e">
        <f ca="1"/>
        <v>#NAME?</v>
      </c>
      <c r="AV68" s="47" t="e">
        <f ca="1"/>
        <v>#NAME?</v>
      </c>
      <c r="AW68" s="47" t="e">
        <f ca="1"/>
        <v>#NAME?</v>
      </c>
      <c r="AX68" s="47" t="e">
        <f ca="1"/>
        <v>#NAME?</v>
      </c>
      <c r="AY68" s="47" t="e">
        <f ca="1"/>
        <v>#NAME?</v>
      </c>
    </row>
    <row r="69" spans="3:51" x14ac:dyDescent="0.55000000000000004">
      <c r="C69" s="6">
        <f t="shared" si="7"/>
        <v>10</v>
      </c>
      <c r="D69" s="5" t="e">
        <f ca="1"/>
        <v>#NAME?</v>
      </c>
      <c r="E69" s="5" t="e">
        <f ca="1"/>
        <v>#NAME?</v>
      </c>
      <c r="F69" s="5" t="e">
        <f ca="1"/>
        <v>#NAME?</v>
      </c>
      <c r="G69" s="5" t="e">
        <f ca="1"/>
        <v>#NAME?</v>
      </c>
      <c r="H69" s="5" t="e">
        <f ca="1"/>
        <v>#NAME?</v>
      </c>
      <c r="I69" s="5" t="e">
        <f ca="1"/>
        <v>#NAME?</v>
      </c>
      <c r="J69" s="5" t="e">
        <f ca="1"/>
        <v>#NAME?</v>
      </c>
      <c r="K69" t="e">
        <f t="shared" ca="1" si="14"/>
        <v>#NAME?</v>
      </c>
      <c r="AJ69" s="23" t="e" cm="1">
        <f t="array" aca="1" ref="AJ69:AP74" ca="1">_xlfn.MAP(_xlfn.ANCHORARRAY(AJ61),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69" s="23" t="e">
        <f ca="1"/>
        <v>#NAME?</v>
      </c>
      <c r="AL69" s="23" t="e">
        <f ca="1"/>
        <v>#NAME?</v>
      </c>
      <c r="AM69" s="23" t="e">
        <f ca="1"/>
        <v>#NAME?</v>
      </c>
      <c r="AN69" s="23" t="e">
        <f ca="1"/>
        <v>#NAME?</v>
      </c>
      <c r="AO69" s="23" t="e">
        <f ca="1"/>
        <v>#NAME?</v>
      </c>
      <c r="AP69" s="23" t="e">
        <f ca="1"/>
        <v>#NAME?</v>
      </c>
      <c r="AS69" s="46" t="e">
        <f ca="1"/>
        <v>#NAME?</v>
      </c>
      <c r="AT69" s="46" t="e">
        <f ca="1"/>
        <v>#NAME?</v>
      </c>
      <c r="AU69" s="46" t="e">
        <f ca="1"/>
        <v>#NAME?</v>
      </c>
      <c r="AV69" s="46" t="e">
        <f ca="1"/>
        <v>#NAME?</v>
      </c>
      <c r="AW69" s="46" t="e">
        <f ca="1"/>
        <v>#NAME?</v>
      </c>
      <c r="AX69" s="46" t="e">
        <f ca="1"/>
        <v>#NAME?</v>
      </c>
      <c r="AY69" s="46" t="e">
        <f ca="1"/>
        <v>#NAME?</v>
      </c>
    </row>
    <row r="70" spans="3:51" x14ac:dyDescent="0.55000000000000004">
      <c r="C70" s="6">
        <f t="shared" si="7"/>
        <v>10</v>
      </c>
      <c r="D70" s="5" t="e">
        <f ca="1"/>
        <v>#NAME?</v>
      </c>
      <c r="E70" s="5" t="e">
        <f ca="1"/>
        <v>#NAME?</v>
      </c>
      <c r="F70" s="5" t="e">
        <f ca="1"/>
        <v>#NAME?</v>
      </c>
      <c r="G70" s="5" t="e">
        <f ca="1"/>
        <v>#NAME?</v>
      </c>
      <c r="H70" s="5" t="e">
        <f ca="1"/>
        <v>#NAME?</v>
      </c>
      <c r="I70" s="5" t="e">
        <f ca="1"/>
        <v>#NAME?</v>
      </c>
      <c r="J70" s="5" t="e">
        <f ca="1"/>
        <v>#NAME?</v>
      </c>
      <c r="K70" t="e">
        <f t="shared" ca="1" si="14"/>
        <v>#NAME?</v>
      </c>
      <c r="AJ70" s="23" t="e">
        <f ca="1"/>
        <v>#NAME?</v>
      </c>
      <c r="AK70" s="23" t="e">
        <f ca="1"/>
        <v>#NAME?</v>
      </c>
      <c r="AL70" s="23" t="e">
        <f ca="1"/>
        <v>#NAME?</v>
      </c>
      <c r="AM70" s="23" t="e">
        <f ca="1"/>
        <v>#NAME?</v>
      </c>
      <c r="AN70" s="23" t="e">
        <f ca="1"/>
        <v>#NAME?</v>
      </c>
      <c r="AO70" s="23" t="e">
        <f ca="1"/>
        <v>#NAME?</v>
      </c>
      <c r="AP70" s="23" t="e">
        <f ca="1"/>
        <v>#NAME?</v>
      </c>
      <c r="AS70" s="47" t="e">
        <f ca="1"/>
        <v>#NAME?</v>
      </c>
      <c r="AT70" s="47" t="e">
        <f ca="1"/>
        <v>#NAME?</v>
      </c>
      <c r="AU70" s="47" t="e">
        <f ca="1"/>
        <v>#NAME?</v>
      </c>
      <c r="AV70" s="47" t="e">
        <f ca="1"/>
        <v>#NAME?</v>
      </c>
      <c r="AW70" s="47" t="e">
        <f ca="1"/>
        <v>#NAME?</v>
      </c>
      <c r="AX70" s="47" t="e">
        <f ca="1"/>
        <v>#NAME?</v>
      </c>
      <c r="AY70" s="47" t="e">
        <f ca="1"/>
        <v>#NAME?</v>
      </c>
    </row>
    <row r="71" spans="3:51" x14ac:dyDescent="0.55000000000000004">
      <c r="C71" s="6">
        <f t="shared" si="7"/>
        <v>10</v>
      </c>
      <c r="D71" s="5" t="e">
        <f ca="1"/>
        <v>#NAME?</v>
      </c>
      <c r="E71" s="5" t="e">
        <f ca="1"/>
        <v>#NAME?</v>
      </c>
      <c r="F71" s="5" t="e">
        <f ca="1"/>
        <v>#NAME?</v>
      </c>
      <c r="G71" s="5" t="e">
        <f ca="1"/>
        <v>#NAME?</v>
      </c>
      <c r="H71" s="5" t="e">
        <f ca="1"/>
        <v>#NAME?</v>
      </c>
      <c r="I71" s="5" t="e">
        <f ca="1"/>
        <v>#NAME?</v>
      </c>
      <c r="J71" s="5" t="e">
        <f ca="1"/>
        <v>#NAME?</v>
      </c>
      <c r="K71" t="e">
        <f t="shared" ca="1" si="14"/>
        <v>#NAME?</v>
      </c>
      <c r="AJ71" s="23" t="e">
        <f ca="1"/>
        <v>#NAME?</v>
      </c>
      <c r="AK71" s="23" t="e">
        <f ca="1"/>
        <v>#NAME?</v>
      </c>
      <c r="AL71" s="23" t="e">
        <f ca="1"/>
        <v>#NAME?</v>
      </c>
      <c r="AM71" s="23" t="e">
        <f ca="1"/>
        <v>#NAME?</v>
      </c>
      <c r="AN71" s="23" t="e">
        <f ca="1"/>
        <v>#NAME?</v>
      </c>
      <c r="AO71" s="23" t="e">
        <f ca="1"/>
        <v>#NAME?</v>
      </c>
      <c r="AP71" s="23" t="e">
        <f ca="1"/>
        <v>#NAME?</v>
      </c>
      <c r="AS71" s="46" t="e">
        <f ca="1"/>
        <v>#NAME?</v>
      </c>
      <c r="AT71" s="46" t="e">
        <f ca="1"/>
        <v>#NAME?</v>
      </c>
      <c r="AU71" s="46" t="e">
        <f ca="1"/>
        <v>#NAME?</v>
      </c>
      <c r="AV71" s="46" t="e">
        <f ca="1"/>
        <v>#NAME?</v>
      </c>
      <c r="AW71" s="46" t="e">
        <f ca="1"/>
        <v>#NAME?</v>
      </c>
      <c r="AX71" s="46" t="e">
        <f ca="1"/>
        <v>#NAME?</v>
      </c>
      <c r="AY71" s="46" t="e">
        <f ca="1"/>
        <v>#NAME?</v>
      </c>
    </row>
    <row r="72" spans="3:51" x14ac:dyDescent="0.55000000000000004">
      <c r="C72" s="6">
        <f t="shared" si="7"/>
        <v>10</v>
      </c>
      <c r="D72" s="5" t="e">
        <f ca="1"/>
        <v>#NAME?</v>
      </c>
      <c r="E72" s="5" t="e">
        <f ca="1"/>
        <v>#NAME?</v>
      </c>
      <c r="F72" s="5" t="e">
        <f ca="1"/>
        <v>#NAME?</v>
      </c>
      <c r="G72" s="5" t="e">
        <f ca="1"/>
        <v>#NAME?</v>
      </c>
      <c r="H72" s="5" t="e">
        <f ca="1"/>
        <v>#NAME?</v>
      </c>
      <c r="I72" s="5" t="e">
        <f ca="1"/>
        <v>#NAME?</v>
      </c>
      <c r="J72" s="5" t="e">
        <f ca="1"/>
        <v>#NAME?</v>
      </c>
      <c r="K72" t="e">
        <f t="shared" ca="1" si="14"/>
        <v>#NAME?</v>
      </c>
      <c r="AJ72" s="23" t="e">
        <f ca="1"/>
        <v>#NAME?</v>
      </c>
      <c r="AK72" s="23" t="e">
        <f ca="1"/>
        <v>#NAME?</v>
      </c>
      <c r="AL72" s="23" t="e">
        <f ca="1"/>
        <v>#NAME?</v>
      </c>
      <c r="AM72" s="23" t="e">
        <f ca="1"/>
        <v>#NAME?</v>
      </c>
      <c r="AN72" s="23" t="e">
        <f ca="1"/>
        <v>#NAME?</v>
      </c>
      <c r="AO72" s="23" t="e">
        <f ca="1"/>
        <v>#NAME?</v>
      </c>
      <c r="AP72" s="23" t="e">
        <f ca="1"/>
        <v>#NAME?</v>
      </c>
      <c r="AS72" s="47" t="e">
        <f ca="1"/>
        <v>#NAME?</v>
      </c>
      <c r="AT72" s="47" t="e">
        <f ca="1"/>
        <v>#NAME?</v>
      </c>
      <c r="AU72" s="47" t="e">
        <f ca="1"/>
        <v>#NAME?</v>
      </c>
      <c r="AV72" s="47" t="e">
        <f ca="1"/>
        <v>#NAME?</v>
      </c>
      <c r="AW72" s="47" t="e">
        <f ca="1"/>
        <v>#NAME?</v>
      </c>
      <c r="AX72" s="47" t="e">
        <f ca="1"/>
        <v>#NAME?</v>
      </c>
      <c r="AY72" s="47" t="e">
        <f ca="1"/>
        <v>#NAME?</v>
      </c>
    </row>
    <row r="73" spans="3:51" x14ac:dyDescent="0.55000000000000004">
      <c r="C73" s="6">
        <f t="shared" si="19"/>
        <v>11</v>
      </c>
      <c r="D73" s="7" t="e" cm="1">
        <f t="array" aca="1" ref="D73:J78" ca="1">_xlfn.LET(_xlpm.mStart, DATE(cal.year, C73, 1), _xlpm.wDay, WEEKDAY(_xlpm.mStart, 10+week.start), _xlfn.SEQUENCE(6,7,_xlpm.mStart-_xlpm.wDay+1))</f>
        <v>#NAME?</v>
      </c>
      <c r="E73" s="5" t="e">
        <f ca="1"/>
        <v>#NAME?</v>
      </c>
      <c r="F73" s="5" t="e">
        <f ca="1"/>
        <v>#NAME?</v>
      </c>
      <c r="G73" s="5" t="e">
        <f ca="1"/>
        <v>#NAME?</v>
      </c>
      <c r="H73" s="5" t="e">
        <f ca="1"/>
        <v>#NAME?</v>
      </c>
      <c r="I73" s="5" t="e">
        <f ca="1"/>
        <v>#NAME?</v>
      </c>
      <c r="J73" s="5" t="e">
        <f ca="1"/>
        <v>#NAME?</v>
      </c>
      <c r="K73" t="e">
        <f t="shared" ca="1" si="14"/>
        <v>#NAME?</v>
      </c>
      <c r="AJ73" s="23" t="e">
        <f ca="1"/>
        <v>#NAME?</v>
      </c>
      <c r="AK73" s="23" t="e">
        <f ca="1"/>
        <v>#NAME?</v>
      </c>
      <c r="AL73" s="23" t="e">
        <f ca="1"/>
        <v>#NAME?</v>
      </c>
      <c r="AM73" s="23" t="e">
        <f ca="1"/>
        <v>#NAME?</v>
      </c>
      <c r="AN73" s="23" t="e">
        <f ca="1"/>
        <v>#NAME?</v>
      </c>
      <c r="AO73" s="23" t="e">
        <f ca="1"/>
        <v>#NAME?</v>
      </c>
      <c r="AP73" s="23" t="e">
        <f ca="1"/>
        <v>#NAME?</v>
      </c>
    </row>
    <row r="74" spans="3:51" x14ac:dyDescent="0.55000000000000004">
      <c r="C74" s="6">
        <f t="shared" si="18"/>
        <v>11</v>
      </c>
      <c r="D74" s="5" t="e">
        <f ca="1"/>
        <v>#NAME?</v>
      </c>
      <c r="E74" s="5" t="e">
        <f ca="1"/>
        <v>#NAME?</v>
      </c>
      <c r="F74" s="5" t="e">
        <f ca="1"/>
        <v>#NAME?</v>
      </c>
      <c r="G74" s="5" t="e">
        <f ca="1"/>
        <v>#NAME?</v>
      </c>
      <c r="H74" s="5" t="e">
        <f ca="1"/>
        <v>#NAME?</v>
      </c>
      <c r="I74" s="5" t="e">
        <f ca="1"/>
        <v>#NAME?</v>
      </c>
      <c r="J74" s="5" t="e">
        <f ca="1"/>
        <v>#NAME?</v>
      </c>
      <c r="K74" t="e">
        <f t="shared" ca="1" si="14"/>
        <v>#NAME?</v>
      </c>
      <c r="AJ74" s="23" t="e">
        <f ca="1"/>
        <v>#NAME?</v>
      </c>
      <c r="AK74" s="23" t="e">
        <f ca="1"/>
        <v>#NAME?</v>
      </c>
      <c r="AL74" s="23" t="e">
        <f ca="1"/>
        <v>#NAME?</v>
      </c>
      <c r="AM74" s="23" t="e">
        <f ca="1"/>
        <v>#NAME?</v>
      </c>
      <c r="AN74" s="23" t="e">
        <f ca="1"/>
        <v>#NAME?</v>
      </c>
      <c r="AO74" s="23" t="e">
        <f ca="1"/>
        <v>#NAME?</v>
      </c>
      <c r="AP74" s="23" t="e">
        <f ca="1"/>
        <v>#NAME?</v>
      </c>
    </row>
    <row r="75" spans="3:51" x14ac:dyDescent="0.55000000000000004">
      <c r="C75" s="6">
        <f t="shared" si="7"/>
        <v>11</v>
      </c>
      <c r="D75" s="5" t="e">
        <f ca="1"/>
        <v>#NAME?</v>
      </c>
      <c r="E75" s="5" t="e">
        <f ca="1"/>
        <v>#NAME?</v>
      </c>
      <c r="F75" s="5" t="e">
        <f ca="1"/>
        <v>#NAME?</v>
      </c>
      <c r="G75" s="5" t="e">
        <f ca="1"/>
        <v>#NAME?</v>
      </c>
      <c r="H75" s="5" t="e">
        <f ca="1"/>
        <v>#NAME?</v>
      </c>
      <c r="I75" s="5" t="e">
        <f ca="1"/>
        <v>#NAME?</v>
      </c>
      <c r="J75" s="5" t="e">
        <f ca="1"/>
        <v>#NAME?</v>
      </c>
      <c r="K75" t="e">
        <f t="shared" ca="1" si="14"/>
        <v>#NAME?</v>
      </c>
    </row>
    <row r="76" spans="3:51" x14ac:dyDescent="0.55000000000000004">
      <c r="C76" s="6">
        <f t="shared" si="7"/>
        <v>11</v>
      </c>
      <c r="D76" s="5" t="e">
        <f ca="1"/>
        <v>#NAME?</v>
      </c>
      <c r="E76" s="5" t="e">
        <f ca="1"/>
        <v>#NAME?</v>
      </c>
      <c r="F76" s="5" t="e">
        <f ca="1"/>
        <v>#NAME?</v>
      </c>
      <c r="G76" s="5" t="e">
        <f ca="1"/>
        <v>#NAME?</v>
      </c>
      <c r="H76" s="5" t="e">
        <f ca="1"/>
        <v>#NAME?</v>
      </c>
      <c r="I76" s="5" t="e">
        <f ca="1"/>
        <v>#NAME?</v>
      </c>
      <c r="J76" s="5" t="e">
        <f ca="1"/>
        <v>#NAME?</v>
      </c>
      <c r="K76" t="e">
        <f t="shared" ca="1" si="14"/>
        <v>#NAME?</v>
      </c>
    </row>
    <row r="77" spans="3:51" x14ac:dyDescent="0.55000000000000004">
      <c r="C77" s="6">
        <f t="shared" si="7"/>
        <v>11</v>
      </c>
      <c r="D77" s="5" t="e">
        <f ca="1"/>
        <v>#NAME?</v>
      </c>
      <c r="E77" s="5" t="e">
        <f ca="1"/>
        <v>#NAME?</v>
      </c>
      <c r="F77" s="5" t="e">
        <f ca="1"/>
        <v>#NAME?</v>
      </c>
      <c r="G77" s="5" t="e">
        <f ca="1"/>
        <v>#NAME?</v>
      </c>
      <c r="H77" s="5" t="e">
        <f ca="1"/>
        <v>#NAME?</v>
      </c>
      <c r="I77" s="5" t="e">
        <f ca="1"/>
        <v>#NAME?</v>
      </c>
      <c r="J77" s="5" t="e">
        <f ca="1"/>
        <v>#NAME?</v>
      </c>
      <c r="K77" t="e">
        <f t="shared" ref="K77:K84" ca="1" si="20">WEEKNUM(D77,10+week.start)</f>
        <v>#NAME?</v>
      </c>
      <c r="AI77" s="45">
        <f>AI61+1</f>
        <v>5</v>
      </c>
      <c r="AJ77" s="46" t="e" cm="1">
        <f t="array" aca="1" ref="AJ77:AP82" ca="1">_xlfn.LET(_xlpm.dt, _xlfn._xlws.FILTER(monthly.calendar, month.nums=AI77), IF(MONTH(_xlpm.dt)&lt;&gt;AI77,"",_xlpm.dt))</f>
        <v>#NAME?</v>
      </c>
      <c r="AK77" s="46" t="e">
        <f ca="1"/>
        <v>#NAME?</v>
      </c>
      <c r="AL77" s="46" t="e">
        <f ca="1"/>
        <v>#NAME?</v>
      </c>
      <c r="AM77" s="46" t="e">
        <f ca="1"/>
        <v>#NAME?</v>
      </c>
      <c r="AN77" s="46" t="e">
        <f ca="1"/>
        <v>#NAME?</v>
      </c>
      <c r="AO77" s="46" t="e">
        <f ca="1"/>
        <v>#NAME?</v>
      </c>
      <c r="AP77" s="46" t="e">
        <f ca="1"/>
        <v>#NAME?</v>
      </c>
      <c r="AS77" s="46" t="e" cm="1">
        <f t="array" aca="1" ref="AS77:AY88" ca="1">_xlfn.WRAPROWS(_xlfn.TOCOL(_xlfn.HSTACK(_xlfn.ANCHORARRAY(AJ77),_xlfn.ANCHORARRAY(AJ85))),7)</f>
        <v>#NAME?</v>
      </c>
      <c r="AT77" s="46" t="e">
        <f ca="1"/>
        <v>#NAME?</v>
      </c>
      <c r="AU77" s="46" t="e">
        <f ca="1"/>
        <v>#NAME?</v>
      </c>
      <c r="AV77" s="46" t="e">
        <f ca="1"/>
        <v>#NAME?</v>
      </c>
      <c r="AW77" s="46" t="e">
        <f ca="1"/>
        <v>#NAME?</v>
      </c>
      <c r="AX77" s="46" t="e">
        <f ca="1"/>
        <v>#NAME?</v>
      </c>
      <c r="AY77" s="46" t="e">
        <f ca="1"/>
        <v>#NAME?</v>
      </c>
    </row>
    <row r="78" spans="3:51" x14ac:dyDescent="0.55000000000000004">
      <c r="C78" s="6">
        <f t="shared" si="7"/>
        <v>11</v>
      </c>
      <c r="D78" s="5" t="e">
        <f ca="1"/>
        <v>#NAME?</v>
      </c>
      <c r="E78" s="5" t="e">
        <f ca="1"/>
        <v>#NAME?</v>
      </c>
      <c r="F78" s="5" t="e">
        <f ca="1"/>
        <v>#NAME?</v>
      </c>
      <c r="G78" s="5" t="e">
        <f ca="1"/>
        <v>#NAME?</v>
      </c>
      <c r="H78" s="5" t="e">
        <f ca="1"/>
        <v>#NAME?</v>
      </c>
      <c r="I78" s="5" t="e">
        <f ca="1"/>
        <v>#NAME?</v>
      </c>
      <c r="J78" s="5" t="e">
        <f ca="1"/>
        <v>#NAME?</v>
      </c>
      <c r="K78" t="e">
        <f t="shared" ca="1" si="20"/>
        <v>#NAME?</v>
      </c>
      <c r="AJ78" s="46" t="e">
        <f ca="1"/>
        <v>#NAME?</v>
      </c>
      <c r="AK78" s="46" t="e">
        <f ca="1"/>
        <v>#NAME?</v>
      </c>
      <c r="AL78" s="46" t="e">
        <f ca="1"/>
        <v>#NAME?</v>
      </c>
      <c r="AM78" s="46" t="e">
        <f ca="1"/>
        <v>#NAME?</v>
      </c>
      <c r="AN78" s="46" t="e">
        <f ca="1"/>
        <v>#NAME?</v>
      </c>
      <c r="AO78" s="46" t="e">
        <f ca="1"/>
        <v>#NAME?</v>
      </c>
      <c r="AP78" s="46" t="e">
        <f ca="1"/>
        <v>#NAME?</v>
      </c>
      <c r="AS78" s="47" t="e">
        <f ca="1"/>
        <v>#NAME?</v>
      </c>
      <c r="AT78" s="47" t="e">
        <f ca="1"/>
        <v>#NAME?</v>
      </c>
      <c r="AU78" s="47" t="e">
        <f ca="1"/>
        <v>#NAME?</v>
      </c>
      <c r="AV78" s="47" t="e">
        <f ca="1"/>
        <v>#NAME?</v>
      </c>
      <c r="AW78" s="47" t="e">
        <f ca="1"/>
        <v>#NAME?</v>
      </c>
      <c r="AX78" s="47" t="e">
        <f ca="1"/>
        <v>#NAME?</v>
      </c>
      <c r="AY78" s="47" t="e">
        <f ca="1"/>
        <v>#NAME?</v>
      </c>
    </row>
    <row r="79" spans="3:51" x14ac:dyDescent="0.55000000000000004">
      <c r="C79" s="6">
        <f t="shared" si="19"/>
        <v>12</v>
      </c>
      <c r="D79" s="7" t="e" cm="1">
        <f t="array" aca="1" ref="D79:J84" ca="1">_xlfn.LET(_xlpm.mStart, DATE(cal.year, C79, 1), _xlpm.wDay, WEEKDAY(_xlpm.mStart, 10+week.start), _xlfn.SEQUENCE(6,7,_xlpm.mStart-_xlpm.wDay+1))</f>
        <v>#NAME?</v>
      </c>
      <c r="E79" s="5" t="e">
        <f ca="1"/>
        <v>#NAME?</v>
      </c>
      <c r="F79" s="5" t="e">
        <f ca="1"/>
        <v>#NAME?</v>
      </c>
      <c r="G79" s="5" t="e">
        <f ca="1"/>
        <v>#NAME?</v>
      </c>
      <c r="H79" s="5" t="e">
        <f ca="1"/>
        <v>#NAME?</v>
      </c>
      <c r="I79" s="5" t="e">
        <f ca="1"/>
        <v>#NAME?</v>
      </c>
      <c r="J79" s="5" t="e">
        <f ca="1"/>
        <v>#NAME?</v>
      </c>
      <c r="K79" t="e">
        <f t="shared" ca="1" si="20"/>
        <v>#NAME?</v>
      </c>
      <c r="AJ79" s="46" t="e">
        <f ca="1"/>
        <v>#NAME?</v>
      </c>
      <c r="AK79" s="46" t="e">
        <f ca="1"/>
        <v>#NAME?</v>
      </c>
      <c r="AL79" s="46" t="e">
        <f ca="1"/>
        <v>#NAME?</v>
      </c>
      <c r="AM79" s="46" t="e">
        <f ca="1"/>
        <v>#NAME?</v>
      </c>
      <c r="AN79" s="46" t="e">
        <f ca="1"/>
        <v>#NAME?</v>
      </c>
      <c r="AO79" s="46" t="e">
        <f ca="1"/>
        <v>#NAME?</v>
      </c>
      <c r="AP79" s="46" t="e">
        <f ca="1"/>
        <v>#NAME?</v>
      </c>
      <c r="AS79" s="46" t="e">
        <f ca="1"/>
        <v>#NAME?</v>
      </c>
      <c r="AT79" s="46" t="e">
        <f ca="1"/>
        <v>#NAME?</v>
      </c>
      <c r="AU79" s="46" t="e">
        <f ca="1"/>
        <v>#NAME?</v>
      </c>
      <c r="AV79" s="46" t="e">
        <f ca="1"/>
        <v>#NAME?</v>
      </c>
      <c r="AW79" s="46" t="e">
        <f ca="1"/>
        <v>#NAME?</v>
      </c>
      <c r="AX79" s="46" t="e">
        <f ca="1"/>
        <v>#NAME?</v>
      </c>
      <c r="AY79" s="46" t="e">
        <f ca="1"/>
        <v>#NAME?</v>
      </c>
    </row>
    <row r="80" spans="3:51" x14ac:dyDescent="0.55000000000000004">
      <c r="C80" s="6">
        <f t="shared" ref="C80:C84" si="21">C79</f>
        <v>12</v>
      </c>
      <c r="D80" s="5" t="e">
        <f ca="1"/>
        <v>#NAME?</v>
      </c>
      <c r="E80" s="5" t="e">
        <f ca="1"/>
        <v>#NAME?</v>
      </c>
      <c r="F80" s="5" t="e">
        <f ca="1"/>
        <v>#NAME?</v>
      </c>
      <c r="G80" s="5" t="e">
        <f ca="1"/>
        <v>#NAME?</v>
      </c>
      <c r="H80" s="5" t="e">
        <f ca="1"/>
        <v>#NAME?</v>
      </c>
      <c r="I80" s="5" t="e">
        <f ca="1"/>
        <v>#NAME?</v>
      </c>
      <c r="J80" s="5" t="e">
        <f ca="1"/>
        <v>#NAME?</v>
      </c>
      <c r="K80" t="e">
        <f t="shared" ca="1" si="20"/>
        <v>#NAME?</v>
      </c>
      <c r="AJ80" s="46" t="e">
        <f ca="1"/>
        <v>#NAME?</v>
      </c>
      <c r="AK80" s="46" t="e">
        <f ca="1"/>
        <v>#NAME?</v>
      </c>
      <c r="AL80" s="46" t="e">
        <f ca="1"/>
        <v>#NAME?</v>
      </c>
      <c r="AM80" s="46" t="e">
        <f ca="1"/>
        <v>#NAME?</v>
      </c>
      <c r="AN80" s="46" t="e">
        <f ca="1"/>
        <v>#NAME?</v>
      </c>
      <c r="AO80" s="46" t="e">
        <f ca="1"/>
        <v>#NAME?</v>
      </c>
      <c r="AP80" s="46" t="e">
        <f ca="1"/>
        <v>#NAME?</v>
      </c>
      <c r="AS80" s="47" t="e">
        <f ca="1"/>
        <v>#NAME?</v>
      </c>
      <c r="AT80" s="47" t="e">
        <f ca="1"/>
        <v>#NAME?</v>
      </c>
      <c r="AU80" s="47" t="e">
        <f ca="1"/>
        <v>#NAME?</v>
      </c>
      <c r="AV80" s="47" t="e">
        <f ca="1"/>
        <v>#NAME?</v>
      </c>
      <c r="AW80" s="47" t="e">
        <f ca="1"/>
        <v>#NAME?</v>
      </c>
      <c r="AX80" s="47" t="e">
        <f ca="1"/>
        <v>#NAME?</v>
      </c>
      <c r="AY80" s="47" t="e">
        <f ca="1"/>
        <v>#NAME?</v>
      </c>
    </row>
    <row r="81" spans="3:51" x14ac:dyDescent="0.55000000000000004">
      <c r="C81" s="6">
        <f t="shared" si="21"/>
        <v>12</v>
      </c>
      <c r="D81" s="5" t="e">
        <f ca="1"/>
        <v>#NAME?</v>
      </c>
      <c r="E81" s="5" t="e">
        <f ca="1"/>
        <v>#NAME?</v>
      </c>
      <c r="F81" s="5" t="e">
        <f ca="1"/>
        <v>#NAME?</v>
      </c>
      <c r="G81" s="5" t="e">
        <f ca="1"/>
        <v>#NAME?</v>
      </c>
      <c r="H81" s="5" t="e">
        <f ca="1"/>
        <v>#NAME?</v>
      </c>
      <c r="I81" s="5" t="e">
        <f ca="1"/>
        <v>#NAME?</v>
      </c>
      <c r="J81" s="5" t="e">
        <f ca="1"/>
        <v>#NAME?</v>
      </c>
      <c r="K81" t="e">
        <f t="shared" ca="1" si="20"/>
        <v>#NAME?</v>
      </c>
      <c r="AJ81" s="46" t="e">
        <f ca="1"/>
        <v>#NAME?</v>
      </c>
      <c r="AK81" s="46" t="e">
        <f ca="1"/>
        <v>#NAME?</v>
      </c>
      <c r="AL81" s="46" t="e">
        <f ca="1"/>
        <v>#NAME?</v>
      </c>
      <c r="AM81" s="46" t="e">
        <f ca="1"/>
        <v>#NAME?</v>
      </c>
      <c r="AN81" s="46" t="e">
        <f ca="1"/>
        <v>#NAME?</v>
      </c>
      <c r="AO81" s="46" t="e">
        <f ca="1"/>
        <v>#NAME?</v>
      </c>
      <c r="AP81" s="46" t="e">
        <f ca="1"/>
        <v>#NAME?</v>
      </c>
      <c r="AS81" s="46" t="e">
        <f ca="1"/>
        <v>#NAME?</v>
      </c>
      <c r="AT81" s="46" t="e">
        <f ca="1"/>
        <v>#NAME?</v>
      </c>
      <c r="AU81" s="46" t="e">
        <f ca="1"/>
        <v>#NAME?</v>
      </c>
      <c r="AV81" s="46" t="e">
        <f ca="1"/>
        <v>#NAME?</v>
      </c>
      <c r="AW81" s="46" t="e">
        <f ca="1"/>
        <v>#NAME?</v>
      </c>
      <c r="AX81" s="46" t="e">
        <f ca="1"/>
        <v>#NAME?</v>
      </c>
      <c r="AY81" s="46" t="e">
        <f ca="1"/>
        <v>#NAME?</v>
      </c>
    </row>
    <row r="82" spans="3:51" x14ac:dyDescent="0.55000000000000004">
      <c r="C82" s="6">
        <f t="shared" si="21"/>
        <v>12</v>
      </c>
      <c r="D82" s="5" t="e">
        <f ca="1"/>
        <v>#NAME?</v>
      </c>
      <c r="E82" s="5" t="e">
        <f ca="1"/>
        <v>#NAME?</v>
      </c>
      <c r="F82" s="5" t="e">
        <f ca="1"/>
        <v>#NAME?</v>
      </c>
      <c r="G82" s="5" t="e">
        <f ca="1"/>
        <v>#NAME?</v>
      </c>
      <c r="H82" s="5" t="e">
        <f ca="1"/>
        <v>#NAME?</v>
      </c>
      <c r="I82" s="5" t="e">
        <f ca="1"/>
        <v>#NAME?</v>
      </c>
      <c r="J82" s="5" t="e">
        <f ca="1"/>
        <v>#NAME?</v>
      </c>
      <c r="K82" t="e">
        <f t="shared" ca="1" si="20"/>
        <v>#NAME?</v>
      </c>
      <c r="AJ82" s="46" t="e">
        <f ca="1"/>
        <v>#NAME?</v>
      </c>
      <c r="AK82" s="46" t="e">
        <f ca="1"/>
        <v>#NAME?</v>
      </c>
      <c r="AL82" s="46" t="e">
        <f ca="1"/>
        <v>#NAME?</v>
      </c>
      <c r="AM82" s="46" t="e">
        <f ca="1"/>
        <v>#NAME?</v>
      </c>
      <c r="AN82" s="46" t="e">
        <f ca="1"/>
        <v>#NAME?</v>
      </c>
      <c r="AO82" s="46" t="e">
        <f ca="1"/>
        <v>#NAME?</v>
      </c>
      <c r="AP82" s="46" t="e">
        <f ca="1"/>
        <v>#NAME?</v>
      </c>
      <c r="AS82" s="47" t="e">
        <f ca="1"/>
        <v>#NAME?</v>
      </c>
      <c r="AT82" s="47" t="e">
        <f ca="1"/>
        <v>#NAME?</v>
      </c>
      <c r="AU82" s="47" t="e">
        <f ca="1"/>
        <v>#NAME?</v>
      </c>
      <c r="AV82" s="47" t="e">
        <f ca="1"/>
        <v>#NAME?</v>
      </c>
      <c r="AW82" s="47" t="e">
        <f ca="1"/>
        <v>#NAME?</v>
      </c>
      <c r="AX82" s="47" t="e">
        <f ca="1"/>
        <v>#NAME?</v>
      </c>
      <c r="AY82" s="47" t="e">
        <f ca="1"/>
        <v>#NAME?</v>
      </c>
    </row>
    <row r="83" spans="3:51" x14ac:dyDescent="0.55000000000000004">
      <c r="C83" s="6">
        <f t="shared" si="21"/>
        <v>12</v>
      </c>
      <c r="D83" s="5" t="e">
        <f ca="1"/>
        <v>#NAME?</v>
      </c>
      <c r="E83" s="5" t="e">
        <f ca="1"/>
        <v>#NAME?</v>
      </c>
      <c r="F83" s="5" t="e">
        <f ca="1"/>
        <v>#NAME?</v>
      </c>
      <c r="G83" s="5" t="e">
        <f ca="1"/>
        <v>#NAME?</v>
      </c>
      <c r="H83" s="5" t="e">
        <f ca="1"/>
        <v>#NAME?</v>
      </c>
      <c r="I83" s="5" t="e">
        <f ca="1"/>
        <v>#NAME?</v>
      </c>
      <c r="J83" s="5" t="e">
        <f ca="1"/>
        <v>#NAME?</v>
      </c>
      <c r="K83" t="e">
        <f t="shared" ca="1" si="20"/>
        <v>#NAME?</v>
      </c>
      <c r="AS83" s="46" t="e">
        <f ca="1"/>
        <v>#NAME?</v>
      </c>
      <c r="AT83" s="46" t="e">
        <f ca="1"/>
        <v>#NAME?</v>
      </c>
      <c r="AU83" s="46" t="e">
        <f ca="1"/>
        <v>#NAME?</v>
      </c>
      <c r="AV83" s="46" t="e">
        <f ca="1"/>
        <v>#NAME?</v>
      </c>
      <c r="AW83" s="46" t="e">
        <f ca="1"/>
        <v>#NAME?</v>
      </c>
      <c r="AX83" s="46" t="e">
        <f ca="1"/>
        <v>#NAME?</v>
      </c>
      <c r="AY83" s="46" t="e">
        <f ca="1"/>
        <v>#NAME?</v>
      </c>
    </row>
    <row r="84" spans="3:51" x14ac:dyDescent="0.55000000000000004">
      <c r="C84" s="6">
        <f t="shared" si="21"/>
        <v>12</v>
      </c>
      <c r="D84" s="5" t="e">
        <f ca="1"/>
        <v>#NAME?</v>
      </c>
      <c r="E84" s="5" t="e">
        <f ca="1"/>
        <v>#NAME?</v>
      </c>
      <c r="F84" s="5" t="e">
        <f ca="1"/>
        <v>#NAME?</v>
      </c>
      <c r="G84" s="5" t="e">
        <f ca="1"/>
        <v>#NAME?</v>
      </c>
      <c r="H84" s="5" t="e">
        <f ca="1"/>
        <v>#NAME?</v>
      </c>
      <c r="I84" s="5" t="e">
        <f ca="1"/>
        <v>#NAME?</v>
      </c>
      <c r="J84" s="5" t="e">
        <f ca="1"/>
        <v>#NAME?</v>
      </c>
      <c r="K84" t="e">
        <f t="shared" ca="1" si="20"/>
        <v>#NAME?</v>
      </c>
      <c r="AS84" s="47" t="e">
        <f ca="1"/>
        <v>#NAME?</v>
      </c>
      <c r="AT84" s="47" t="e">
        <f ca="1"/>
        <v>#NAME?</v>
      </c>
      <c r="AU84" s="47" t="e">
        <f ca="1"/>
        <v>#NAME?</v>
      </c>
      <c r="AV84" s="47" t="e">
        <f ca="1"/>
        <v>#NAME?</v>
      </c>
      <c r="AW84" s="47" t="e">
        <f ca="1"/>
        <v>#NAME?</v>
      </c>
      <c r="AX84" s="47" t="e">
        <f ca="1"/>
        <v>#NAME?</v>
      </c>
      <c r="AY84" s="47" t="e">
        <f ca="1"/>
        <v>#NAME?</v>
      </c>
    </row>
    <row r="85" spans="3:51" x14ac:dyDescent="0.55000000000000004">
      <c r="C85" s="6"/>
      <c r="AJ85" s="23" t="e" cm="1">
        <f t="array" aca="1" ref="AJ85:AP90" ca="1">_xlfn.MAP(_xlfn.ANCHORARRAY(AJ77),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85" s="23" t="e">
        <f ca="1"/>
        <v>#NAME?</v>
      </c>
      <c r="AL85" s="23" t="e">
        <f ca="1"/>
        <v>#NAME?</v>
      </c>
      <c r="AM85" s="23" t="e">
        <f ca="1"/>
        <v>#NAME?</v>
      </c>
      <c r="AN85" s="23" t="e">
        <f ca="1"/>
        <v>#NAME?</v>
      </c>
      <c r="AO85" s="23" t="e">
        <f ca="1"/>
        <v>#NAME?</v>
      </c>
      <c r="AP85" s="23" t="e">
        <f ca="1"/>
        <v>#NAME?</v>
      </c>
      <c r="AS85" s="46" t="e">
        <f ca="1"/>
        <v>#NAME?</v>
      </c>
      <c r="AT85" s="46" t="e">
        <f ca="1"/>
        <v>#NAME?</v>
      </c>
      <c r="AU85" s="46" t="e">
        <f ca="1"/>
        <v>#NAME?</v>
      </c>
      <c r="AV85" s="46" t="e">
        <f ca="1"/>
        <v>#NAME?</v>
      </c>
      <c r="AW85" s="46" t="e">
        <f ca="1"/>
        <v>#NAME?</v>
      </c>
      <c r="AX85" s="46" t="e">
        <f ca="1"/>
        <v>#NAME?</v>
      </c>
      <c r="AY85" s="46" t="e">
        <f ca="1"/>
        <v>#NAME?</v>
      </c>
    </row>
    <row r="86" spans="3:51" x14ac:dyDescent="0.55000000000000004">
      <c r="C86" s="6"/>
      <c r="AJ86" s="23" t="e">
        <f ca="1"/>
        <v>#NAME?</v>
      </c>
      <c r="AK86" s="23" t="e">
        <f ca="1"/>
        <v>#NAME?</v>
      </c>
      <c r="AL86" s="23" t="e">
        <f ca="1"/>
        <v>#NAME?</v>
      </c>
      <c r="AM86" s="23" t="e">
        <f ca="1"/>
        <v>#NAME?</v>
      </c>
      <c r="AN86" s="23" t="e">
        <f ca="1"/>
        <v>#NAME?</v>
      </c>
      <c r="AO86" s="23" t="e">
        <f ca="1"/>
        <v>#NAME?</v>
      </c>
      <c r="AP86" s="23" t="e">
        <f ca="1"/>
        <v>#NAME?</v>
      </c>
      <c r="AS86" s="47" t="e">
        <f ca="1"/>
        <v>#NAME?</v>
      </c>
      <c r="AT86" s="47" t="e">
        <f ca="1"/>
        <v>#NAME?</v>
      </c>
      <c r="AU86" s="47" t="e">
        <f ca="1"/>
        <v>#NAME?</v>
      </c>
      <c r="AV86" s="47" t="e">
        <f ca="1"/>
        <v>#NAME?</v>
      </c>
      <c r="AW86" s="47" t="e">
        <f ca="1"/>
        <v>#NAME?</v>
      </c>
      <c r="AX86" s="47" t="e">
        <f ca="1"/>
        <v>#NAME?</v>
      </c>
      <c r="AY86" s="47" t="e">
        <f ca="1"/>
        <v>#NAME?</v>
      </c>
    </row>
    <row r="87" spans="3:51" x14ac:dyDescent="0.55000000000000004">
      <c r="C87" s="6"/>
      <c r="AJ87" s="23" t="e">
        <f ca="1"/>
        <v>#NAME?</v>
      </c>
      <c r="AK87" s="23" t="e">
        <f ca="1"/>
        <v>#NAME?</v>
      </c>
      <c r="AL87" s="23" t="e">
        <f ca="1"/>
        <v>#NAME?</v>
      </c>
      <c r="AM87" s="23" t="e">
        <f ca="1"/>
        <v>#NAME?</v>
      </c>
      <c r="AN87" s="23" t="e">
        <f ca="1"/>
        <v>#NAME?</v>
      </c>
      <c r="AO87" s="23" t="e">
        <f ca="1"/>
        <v>#NAME?</v>
      </c>
      <c r="AP87" s="23" t="e">
        <f ca="1"/>
        <v>#NAME?</v>
      </c>
      <c r="AS87" s="46" t="e">
        <f ca="1"/>
        <v>#NAME?</v>
      </c>
      <c r="AT87" s="46" t="e">
        <f ca="1"/>
        <v>#NAME?</v>
      </c>
      <c r="AU87" s="46" t="e">
        <f ca="1"/>
        <v>#NAME?</v>
      </c>
      <c r="AV87" s="46" t="e">
        <f ca="1"/>
        <v>#NAME?</v>
      </c>
      <c r="AW87" s="46" t="e">
        <f ca="1"/>
        <v>#NAME?</v>
      </c>
      <c r="AX87" s="46" t="e">
        <f ca="1"/>
        <v>#NAME?</v>
      </c>
      <c r="AY87" s="46" t="e">
        <f ca="1"/>
        <v>#NAME?</v>
      </c>
    </row>
    <row r="88" spans="3:51" x14ac:dyDescent="0.55000000000000004">
      <c r="C88" s="6"/>
      <c r="AJ88" s="23" t="e">
        <f ca="1"/>
        <v>#NAME?</v>
      </c>
      <c r="AK88" s="23" t="e">
        <f ca="1"/>
        <v>#NAME?</v>
      </c>
      <c r="AL88" s="23" t="e">
        <f ca="1"/>
        <v>#NAME?</v>
      </c>
      <c r="AM88" s="23" t="e">
        <f ca="1"/>
        <v>#NAME?</v>
      </c>
      <c r="AN88" s="23" t="e">
        <f ca="1"/>
        <v>#NAME?</v>
      </c>
      <c r="AO88" s="23" t="e">
        <f ca="1"/>
        <v>#NAME?</v>
      </c>
      <c r="AP88" s="23" t="e">
        <f ca="1"/>
        <v>#NAME?</v>
      </c>
      <c r="AS88" s="47" t="e">
        <f ca="1"/>
        <v>#NAME?</v>
      </c>
      <c r="AT88" s="47" t="e">
        <f ca="1"/>
        <v>#NAME?</v>
      </c>
      <c r="AU88" s="47" t="e">
        <f ca="1"/>
        <v>#NAME?</v>
      </c>
      <c r="AV88" s="47" t="e">
        <f ca="1"/>
        <v>#NAME?</v>
      </c>
      <c r="AW88" s="47" t="e">
        <f ca="1"/>
        <v>#NAME?</v>
      </c>
      <c r="AX88" s="47" t="e">
        <f ca="1"/>
        <v>#NAME?</v>
      </c>
      <c r="AY88" s="47" t="e">
        <f ca="1"/>
        <v>#NAME?</v>
      </c>
    </row>
    <row r="89" spans="3:51" x14ac:dyDescent="0.55000000000000004">
      <c r="C89" s="6"/>
      <c r="AJ89" s="23" t="e">
        <f ca="1"/>
        <v>#NAME?</v>
      </c>
      <c r="AK89" s="23" t="e">
        <f ca="1"/>
        <v>#NAME?</v>
      </c>
      <c r="AL89" s="23" t="e">
        <f ca="1"/>
        <v>#NAME?</v>
      </c>
      <c r="AM89" s="23" t="e">
        <f ca="1"/>
        <v>#NAME?</v>
      </c>
      <c r="AN89" s="23" t="e">
        <f ca="1"/>
        <v>#NAME?</v>
      </c>
      <c r="AO89" s="23" t="e">
        <f ca="1"/>
        <v>#NAME?</v>
      </c>
      <c r="AP89" s="23" t="e">
        <f ca="1"/>
        <v>#NAME?</v>
      </c>
    </row>
    <row r="90" spans="3:51" x14ac:dyDescent="0.55000000000000004">
      <c r="C90" s="6"/>
      <c r="AJ90" s="23" t="e">
        <f ca="1"/>
        <v>#NAME?</v>
      </c>
      <c r="AK90" s="23" t="e">
        <f ca="1"/>
        <v>#NAME?</v>
      </c>
      <c r="AL90" s="23" t="e">
        <f ca="1"/>
        <v>#NAME?</v>
      </c>
      <c r="AM90" s="23" t="e">
        <f ca="1"/>
        <v>#NAME?</v>
      </c>
      <c r="AN90" s="23" t="e">
        <f ca="1"/>
        <v>#NAME?</v>
      </c>
      <c r="AO90" s="23" t="e">
        <f ca="1"/>
        <v>#NAME?</v>
      </c>
      <c r="AP90" s="23" t="e">
        <f ca="1"/>
        <v>#NAME?</v>
      </c>
    </row>
    <row r="91" spans="3:51" x14ac:dyDescent="0.55000000000000004">
      <c r="C91" s="6"/>
    </row>
    <row r="92" spans="3:51" x14ac:dyDescent="0.55000000000000004">
      <c r="C92" s="6"/>
    </row>
    <row r="93" spans="3:51" x14ac:dyDescent="0.55000000000000004">
      <c r="AI93" s="45">
        <f>AI77+1</f>
        <v>6</v>
      </c>
      <c r="AJ93" s="46" t="e" cm="1">
        <f t="array" aca="1" ref="AJ93:AP98" ca="1">_xlfn.LET(_xlpm.dt, _xlfn._xlws.FILTER(monthly.calendar, month.nums=AI93), IF(MONTH(_xlpm.dt)&lt;&gt;AI93,"",_xlpm.dt))</f>
        <v>#NAME?</v>
      </c>
      <c r="AK93" s="46" t="e">
        <f ca="1"/>
        <v>#NAME?</v>
      </c>
      <c r="AL93" s="46" t="e">
        <f ca="1"/>
        <v>#NAME?</v>
      </c>
      <c r="AM93" s="46" t="e">
        <f ca="1"/>
        <v>#NAME?</v>
      </c>
      <c r="AN93" s="46" t="e">
        <f ca="1"/>
        <v>#NAME?</v>
      </c>
      <c r="AO93" s="46" t="e">
        <f ca="1"/>
        <v>#NAME?</v>
      </c>
      <c r="AP93" s="46" t="e">
        <f ca="1"/>
        <v>#NAME?</v>
      </c>
      <c r="AS93" s="46" t="e" cm="1">
        <f t="array" aca="1" ref="AS93:AY104" ca="1">_xlfn.WRAPROWS(_xlfn.TOCOL(_xlfn.HSTACK(_xlfn.ANCHORARRAY(AJ93),_xlfn.ANCHORARRAY(AJ101))),7)</f>
        <v>#NAME?</v>
      </c>
      <c r="AT93" s="46" t="e">
        <f ca="1"/>
        <v>#NAME?</v>
      </c>
      <c r="AU93" s="46" t="e">
        <f ca="1"/>
        <v>#NAME?</v>
      </c>
      <c r="AV93" s="46" t="e">
        <f ca="1"/>
        <v>#NAME?</v>
      </c>
      <c r="AW93" s="46" t="e">
        <f ca="1"/>
        <v>#NAME?</v>
      </c>
      <c r="AX93" s="46" t="e">
        <f ca="1"/>
        <v>#NAME?</v>
      </c>
      <c r="AY93" s="46" t="e">
        <f ca="1"/>
        <v>#NAME?</v>
      </c>
    </row>
    <row r="94" spans="3:51" x14ac:dyDescent="0.55000000000000004">
      <c r="AJ94" s="46" t="e">
        <f ca="1"/>
        <v>#NAME?</v>
      </c>
      <c r="AK94" s="46" t="e">
        <f ca="1"/>
        <v>#NAME?</v>
      </c>
      <c r="AL94" s="46" t="e">
        <f ca="1"/>
        <v>#NAME?</v>
      </c>
      <c r="AM94" s="46" t="e">
        <f ca="1"/>
        <v>#NAME?</v>
      </c>
      <c r="AN94" s="46" t="e">
        <f ca="1"/>
        <v>#NAME?</v>
      </c>
      <c r="AO94" s="46" t="e">
        <f ca="1"/>
        <v>#NAME?</v>
      </c>
      <c r="AP94" s="46" t="e">
        <f ca="1"/>
        <v>#NAME?</v>
      </c>
      <c r="AS94" s="47" t="e">
        <f ca="1"/>
        <v>#NAME?</v>
      </c>
      <c r="AT94" s="47" t="e">
        <f ca="1"/>
        <v>#NAME?</v>
      </c>
      <c r="AU94" s="47" t="e">
        <f ca="1"/>
        <v>#NAME?</v>
      </c>
      <c r="AV94" s="47" t="e">
        <f ca="1"/>
        <v>#NAME?</v>
      </c>
      <c r="AW94" s="47" t="e">
        <f ca="1"/>
        <v>#NAME?</v>
      </c>
      <c r="AX94" s="47" t="e">
        <f ca="1"/>
        <v>#NAME?</v>
      </c>
      <c r="AY94" s="47" t="e">
        <f ca="1"/>
        <v>#NAME?</v>
      </c>
    </row>
    <row r="95" spans="3:51" x14ac:dyDescent="0.55000000000000004">
      <c r="AJ95" s="46" t="e">
        <f ca="1"/>
        <v>#NAME?</v>
      </c>
      <c r="AK95" s="46" t="e">
        <f ca="1"/>
        <v>#NAME?</v>
      </c>
      <c r="AL95" s="46" t="e">
        <f ca="1"/>
        <v>#NAME?</v>
      </c>
      <c r="AM95" s="46" t="e">
        <f ca="1"/>
        <v>#NAME?</v>
      </c>
      <c r="AN95" s="46" t="e">
        <f ca="1"/>
        <v>#NAME?</v>
      </c>
      <c r="AO95" s="46" t="e">
        <f ca="1"/>
        <v>#NAME?</v>
      </c>
      <c r="AP95" s="46" t="e">
        <f ca="1"/>
        <v>#NAME?</v>
      </c>
      <c r="AS95" s="46" t="e">
        <f ca="1"/>
        <v>#NAME?</v>
      </c>
      <c r="AT95" s="46" t="e">
        <f ca="1"/>
        <v>#NAME?</v>
      </c>
      <c r="AU95" s="46" t="e">
        <f ca="1"/>
        <v>#NAME?</v>
      </c>
      <c r="AV95" s="46" t="e">
        <f ca="1"/>
        <v>#NAME?</v>
      </c>
      <c r="AW95" s="46" t="e">
        <f ca="1"/>
        <v>#NAME?</v>
      </c>
      <c r="AX95" s="46" t="e">
        <f ca="1"/>
        <v>#NAME?</v>
      </c>
      <c r="AY95" s="46" t="e">
        <f ca="1"/>
        <v>#NAME?</v>
      </c>
    </row>
    <row r="96" spans="3:51" x14ac:dyDescent="0.55000000000000004">
      <c r="AJ96" s="46" t="e">
        <f ca="1"/>
        <v>#NAME?</v>
      </c>
      <c r="AK96" s="46" t="e">
        <f ca="1"/>
        <v>#NAME?</v>
      </c>
      <c r="AL96" s="46" t="e">
        <f ca="1"/>
        <v>#NAME?</v>
      </c>
      <c r="AM96" s="46" t="e">
        <f ca="1"/>
        <v>#NAME?</v>
      </c>
      <c r="AN96" s="46" t="e">
        <f ca="1"/>
        <v>#NAME?</v>
      </c>
      <c r="AO96" s="46" t="e">
        <f ca="1"/>
        <v>#NAME?</v>
      </c>
      <c r="AP96" s="46" t="e">
        <f ca="1"/>
        <v>#NAME?</v>
      </c>
      <c r="AS96" s="47" t="e">
        <f ca="1"/>
        <v>#NAME?</v>
      </c>
      <c r="AT96" s="47" t="e">
        <f ca="1"/>
        <v>#NAME?</v>
      </c>
      <c r="AU96" s="47" t="e">
        <f ca="1"/>
        <v>#NAME?</v>
      </c>
      <c r="AV96" s="47" t="e">
        <f ca="1"/>
        <v>#NAME?</v>
      </c>
      <c r="AW96" s="47" t="e">
        <f ca="1"/>
        <v>#NAME?</v>
      </c>
      <c r="AX96" s="47" t="e">
        <f ca="1"/>
        <v>#NAME?</v>
      </c>
      <c r="AY96" s="47" t="e">
        <f ca="1"/>
        <v>#NAME?</v>
      </c>
    </row>
    <row r="97" spans="35:51" x14ac:dyDescent="0.55000000000000004">
      <c r="AJ97" s="46" t="e">
        <f ca="1"/>
        <v>#NAME?</v>
      </c>
      <c r="AK97" s="46" t="e">
        <f ca="1"/>
        <v>#NAME?</v>
      </c>
      <c r="AL97" s="46" t="e">
        <f ca="1"/>
        <v>#NAME?</v>
      </c>
      <c r="AM97" s="46" t="e">
        <f ca="1"/>
        <v>#NAME?</v>
      </c>
      <c r="AN97" s="46" t="e">
        <f ca="1"/>
        <v>#NAME?</v>
      </c>
      <c r="AO97" s="46" t="e">
        <f ca="1"/>
        <v>#NAME?</v>
      </c>
      <c r="AP97" s="46" t="e">
        <f ca="1"/>
        <v>#NAME?</v>
      </c>
      <c r="AS97" s="46" t="e">
        <f ca="1"/>
        <v>#NAME?</v>
      </c>
      <c r="AT97" s="46" t="e">
        <f ca="1"/>
        <v>#NAME?</v>
      </c>
      <c r="AU97" s="46" t="e">
        <f ca="1"/>
        <v>#NAME?</v>
      </c>
      <c r="AV97" s="46" t="e">
        <f ca="1"/>
        <v>#NAME?</v>
      </c>
      <c r="AW97" s="46" t="e">
        <f ca="1"/>
        <v>#NAME?</v>
      </c>
      <c r="AX97" s="46" t="e">
        <f ca="1"/>
        <v>#NAME?</v>
      </c>
      <c r="AY97" s="46" t="e">
        <f ca="1"/>
        <v>#NAME?</v>
      </c>
    </row>
    <row r="98" spans="35:51" x14ac:dyDescent="0.55000000000000004">
      <c r="AJ98" s="46" t="e">
        <f ca="1"/>
        <v>#NAME?</v>
      </c>
      <c r="AK98" s="46" t="e">
        <f ca="1"/>
        <v>#NAME?</v>
      </c>
      <c r="AL98" s="46" t="e">
        <f ca="1"/>
        <v>#NAME?</v>
      </c>
      <c r="AM98" s="46" t="e">
        <f ca="1"/>
        <v>#NAME?</v>
      </c>
      <c r="AN98" s="46" t="e">
        <f ca="1"/>
        <v>#NAME?</v>
      </c>
      <c r="AO98" s="46" t="e">
        <f ca="1"/>
        <v>#NAME?</v>
      </c>
      <c r="AP98" s="46" t="e">
        <f ca="1"/>
        <v>#NAME?</v>
      </c>
      <c r="AS98" s="47" t="e">
        <f ca="1"/>
        <v>#NAME?</v>
      </c>
      <c r="AT98" s="47" t="e">
        <f ca="1"/>
        <v>#NAME?</v>
      </c>
      <c r="AU98" s="47" t="e">
        <f ca="1"/>
        <v>#NAME?</v>
      </c>
      <c r="AV98" s="47" t="e">
        <f ca="1"/>
        <v>#NAME?</v>
      </c>
      <c r="AW98" s="47" t="e">
        <f ca="1"/>
        <v>#NAME?</v>
      </c>
      <c r="AX98" s="47" t="e">
        <f ca="1"/>
        <v>#NAME?</v>
      </c>
      <c r="AY98" s="47" t="e">
        <f ca="1"/>
        <v>#NAME?</v>
      </c>
    </row>
    <row r="99" spans="35:51" x14ac:dyDescent="0.55000000000000004">
      <c r="AS99" s="46" t="e">
        <f ca="1"/>
        <v>#NAME?</v>
      </c>
      <c r="AT99" s="46" t="e">
        <f ca="1"/>
        <v>#NAME?</v>
      </c>
      <c r="AU99" s="46" t="e">
        <f ca="1"/>
        <v>#NAME?</v>
      </c>
      <c r="AV99" s="46" t="e">
        <f ca="1"/>
        <v>#NAME?</v>
      </c>
      <c r="AW99" s="46" t="e">
        <f ca="1"/>
        <v>#NAME?</v>
      </c>
      <c r="AX99" s="46" t="e">
        <f ca="1"/>
        <v>#NAME?</v>
      </c>
      <c r="AY99" s="46" t="e">
        <f ca="1"/>
        <v>#NAME?</v>
      </c>
    </row>
    <row r="100" spans="35:51" x14ac:dyDescent="0.55000000000000004">
      <c r="AS100" s="47" t="e">
        <f ca="1"/>
        <v>#NAME?</v>
      </c>
      <c r="AT100" s="47" t="e">
        <f ca="1"/>
        <v>#NAME?</v>
      </c>
      <c r="AU100" s="47" t="e">
        <f ca="1"/>
        <v>#NAME?</v>
      </c>
      <c r="AV100" s="47" t="e">
        <f ca="1"/>
        <v>#NAME?</v>
      </c>
      <c r="AW100" s="47" t="e">
        <f ca="1"/>
        <v>#NAME?</v>
      </c>
      <c r="AX100" s="47" t="e">
        <f ca="1"/>
        <v>#NAME?</v>
      </c>
      <c r="AY100" s="47" t="e">
        <f ca="1"/>
        <v>#NAME?</v>
      </c>
    </row>
    <row r="101" spans="35:51" x14ac:dyDescent="0.55000000000000004">
      <c r="AJ101" s="23" t="e" cm="1">
        <f t="array" aca="1" ref="AJ101:AP106" ca="1">_xlfn.MAP(_xlfn.ANCHORARRAY(AJ93),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01" s="23" t="e">
        <f ca="1"/>
        <v>#NAME?</v>
      </c>
      <c r="AL101" s="23" t="e">
        <f ca="1"/>
        <v>#NAME?</v>
      </c>
      <c r="AM101" s="23" t="e">
        <f ca="1"/>
        <v>#NAME?</v>
      </c>
      <c r="AN101" s="23" t="e">
        <f ca="1"/>
        <v>#NAME?</v>
      </c>
      <c r="AO101" s="23" t="e">
        <f ca="1"/>
        <v>#NAME?</v>
      </c>
      <c r="AP101" s="23" t="e">
        <f ca="1"/>
        <v>#NAME?</v>
      </c>
      <c r="AS101" s="46" t="e">
        <f ca="1"/>
        <v>#NAME?</v>
      </c>
      <c r="AT101" s="46" t="e">
        <f ca="1"/>
        <v>#NAME?</v>
      </c>
      <c r="AU101" s="46" t="e">
        <f ca="1"/>
        <v>#NAME?</v>
      </c>
      <c r="AV101" s="46" t="e">
        <f ca="1"/>
        <v>#NAME?</v>
      </c>
      <c r="AW101" s="46" t="e">
        <f ca="1"/>
        <v>#NAME?</v>
      </c>
      <c r="AX101" s="46" t="e">
        <f ca="1"/>
        <v>#NAME?</v>
      </c>
      <c r="AY101" s="46" t="e">
        <f ca="1"/>
        <v>#NAME?</v>
      </c>
    </row>
    <row r="102" spans="35:51" x14ac:dyDescent="0.55000000000000004">
      <c r="AJ102" s="23" t="e">
        <f ca="1"/>
        <v>#NAME?</v>
      </c>
      <c r="AK102" s="23" t="e">
        <f ca="1"/>
        <v>#NAME?</v>
      </c>
      <c r="AL102" s="23" t="e">
        <f ca="1"/>
        <v>#NAME?</v>
      </c>
      <c r="AM102" s="23" t="e">
        <f ca="1"/>
        <v>#NAME?</v>
      </c>
      <c r="AN102" s="23" t="e">
        <f ca="1"/>
        <v>#NAME?</v>
      </c>
      <c r="AO102" s="23" t="e">
        <f ca="1"/>
        <v>#NAME?</v>
      </c>
      <c r="AP102" s="23" t="e">
        <f ca="1"/>
        <v>#NAME?</v>
      </c>
      <c r="AS102" s="47" t="e">
        <f ca="1"/>
        <v>#NAME?</v>
      </c>
      <c r="AT102" s="47" t="e">
        <f ca="1"/>
        <v>#NAME?</v>
      </c>
      <c r="AU102" s="47" t="e">
        <f ca="1"/>
        <v>#NAME?</v>
      </c>
      <c r="AV102" s="47" t="e">
        <f ca="1"/>
        <v>#NAME?</v>
      </c>
      <c r="AW102" s="47" t="e">
        <f ca="1"/>
        <v>#NAME?</v>
      </c>
      <c r="AX102" s="47" t="e">
        <f ca="1"/>
        <v>#NAME?</v>
      </c>
      <c r="AY102" s="47" t="e">
        <f ca="1"/>
        <v>#NAME?</v>
      </c>
    </row>
    <row r="103" spans="35:51" x14ac:dyDescent="0.55000000000000004">
      <c r="AJ103" s="23" t="e">
        <f ca="1"/>
        <v>#NAME?</v>
      </c>
      <c r="AK103" s="23" t="e">
        <f ca="1"/>
        <v>#NAME?</v>
      </c>
      <c r="AL103" s="23" t="e">
        <f ca="1"/>
        <v>#NAME?</v>
      </c>
      <c r="AM103" s="23" t="e">
        <f ca="1"/>
        <v>#NAME?</v>
      </c>
      <c r="AN103" s="23" t="e">
        <f ca="1"/>
        <v>#NAME?</v>
      </c>
      <c r="AO103" s="23" t="e">
        <f ca="1"/>
        <v>#NAME?</v>
      </c>
      <c r="AP103" s="23" t="e">
        <f ca="1"/>
        <v>#NAME?</v>
      </c>
      <c r="AS103" s="46" t="e">
        <f ca="1"/>
        <v>#NAME?</v>
      </c>
      <c r="AT103" s="46" t="e">
        <f ca="1"/>
        <v>#NAME?</v>
      </c>
      <c r="AU103" s="46" t="e">
        <f ca="1"/>
        <v>#NAME?</v>
      </c>
      <c r="AV103" s="46" t="e">
        <f ca="1"/>
        <v>#NAME?</v>
      </c>
      <c r="AW103" s="46" t="e">
        <f ca="1"/>
        <v>#NAME?</v>
      </c>
      <c r="AX103" s="46" t="e">
        <f ca="1"/>
        <v>#NAME?</v>
      </c>
      <c r="AY103" s="46" t="e">
        <f ca="1"/>
        <v>#NAME?</v>
      </c>
    </row>
    <row r="104" spans="35:51" x14ac:dyDescent="0.55000000000000004">
      <c r="AJ104" s="23" t="e">
        <f ca="1"/>
        <v>#NAME?</v>
      </c>
      <c r="AK104" s="23" t="e">
        <f ca="1"/>
        <v>#NAME?</v>
      </c>
      <c r="AL104" s="23" t="e">
        <f ca="1"/>
        <v>#NAME?</v>
      </c>
      <c r="AM104" s="23" t="e">
        <f ca="1"/>
        <v>#NAME?</v>
      </c>
      <c r="AN104" s="23" t="e">
        <f ca="1"/>
        <v>#NAME?</v>
      </c>
      <c r="AO104" s="23" t="e">
        <f ca="1"/>
        <v>#NAME?</v>
      </c>
      <c r="AP104" s="23" t="e">
        <f ca="1"/>
        <v>#NAME?</v>
      </c>
      <c r="AS104" s="47" t="e">
        <f ca="1"/>
        <v>#NAME?</v>
      </c>
      <c r="AT104" s="47" t="e">
        <f ca="1"/>
        <v>#NAME?</v>
      </c>
      <c r="AU104" s="47" t="e">
        <f ca="1"/>
        <v>#NAME?</v>
      </c>
      <c r="AV104" s="47" t="e">
        <f ca="1"/>
        <v>#NAME?</v>
      </c>
      <c r="AW104" s="47" t="e">
        <f ca="1"/>
        <v>#NAME?</v>
      </c>
      <c r="AX104" s="47" t="e">
        <f ca="1"/>
        <v>#NAME?</v>
      </c>
      <c r="AY104" s="47" t="e">
        <f ca="1"/>
        <v>#NAME?</v>
      </c>
    </row>
    <row r="105" spans="35:51" x14ac:dyDescent="0.55000000000000004">
      <c r="AJ105" s="23" t="e">
        <f ca="1"/>
        <v>#NAME?</v>
      </c>
      <c r="AK105" s="23" t="e">
        <f ca="1"/>
        <v>#NAME?</v>
      </c>
      <c r="AL105" s="23" t="e">
        <f ca="1"/>
        <v>#NAME?</v>
      </c>
      <c r="AM105" s="23" t="e">
        <f ca="1"/>
        <v>#NAME?</v>
      </c>
      <c r="AN105" s="23" t="e">
        <f ca="1"/>
        <v>#NAME?</v>
      </c>
      <c r="AO105" s="23" t="e">
        <f ca="1"/>
        <v>#NAME?</v>
      </c>
      <c r="AP105" s="23" t="e">
        <f ca="1"/>
        <v>#NAME?</v>
      </c>
    </row>
    <row r="106" spans="35:51" x14ac:dyDescent="0.55000000000000004">
      <c r="AJ106" s="23" t="e">
        <f ca="1"/>
        <v>#NAME?</v>
      </c>
      <c r="AK106" s="23" t="e">
        <f ca="1"/>
        <v>#NAME?</v>
      </c>
      <c r="AL106" s="23" t="e">
        <f ca="1"/>
        <v>#NAME?</v>
      </c>
      <c r="AM106" s="23" t="e">
        <f ca="1"/>
        <v>#NAME?</v>
      </c>
      <c r="AN106" s="23" t="e">
        <f ca="1"/>
        <v>#NAME?</v>
      </c>
      <c r="AO106" s="23" t="e">
        <f ca="1"/>
        <v>#NAME?</v>
      </c>
      <c r="AP106" s="23" t="e">
        <f ca="1"/>
        <v>#NAME?</v>
      </c>
    </row>
    <row r="109" spans="35:51" x14ac:dyDescent="0.55000000000000004">
      <c r="AI109" s="45">
        <f>AI93+1</f>
        <v>7</v>
      </c>
      <c r="AJ109" s="46" t="e" cm="1">
        <f t="array" aca="1" ref="AJ109:AP114" ca="1">_xlfn.LET(_xlpm.dt, _xlfn._xlws.FILTER(monthly.calendar, month.nums=AI109), IF(MONTH(_xlpm.dt)&lt;&gt;AI109,"",_xlpm.dt))</f>
        <v>#NAME?</v>
      </c>
      <c r="AK109" s="46" t="e">
        <f ca="1"/>
        <v>#NAME?</v>
      </c>
      <c r="AL109" s="46" t="e">
        <f ca="1"/>
        <v>#NAME?</v>
      </c>
      <c r="AM109" s="46" t="e">
        <f ca="1"/>
        <v>#NAME?</v>
      </c>
      <c r="AN109" s="46" t="e">
        <f ca="1"/>
        <v>#NAME?</v>
      </c>
      <c r="AO109" s="46" t="e">
        <f ca="1"/>
        <v>#NAME?</v>
      </c>
      <c r="AP109" s="46" t="e">
        <f ca="1"/>
        <v>#NAME?</v>
      </c>
      <c r="AS109" s="46" t="e" cm="1">
        <f t="array" aca="1" ref="AS109:AY120" ca="1">_xlfn.WRAPROWS(_xlfn.TOCOL(_xlfn.HSTACK(_xlfn.ANCHORARRAY(AJ109),_xlfn.ANCHORARRAY(AJ117))),7)</f>
        <v>#NAME?</v>
      </c>
      <c r="AT109" s="46" t="e">
        <f ca="1"/>
        <v>#NAME?</v>
      </c>
      <c r="AU109" s="46" t="e">
        <f ca="1"/>
        <v>#NAME?</v>
      </c>
      <c r="AV109" s="46" t="e">
        <f ca="1"/>
        <v>#NAME?</v>
      </c>
      <c r="AW109" s="46" t="e">
        <f ca="1"/>
        <v>#NAME?</v>
      </c>
      <c r="AX109" s="46" t="e">
        <f ca="1"/>
        <v>#NAME?</v>
      </c>
      <c r="AY109" s="46" t="e">
        <f ca="1"/>
        <v>#NAME?</v>
      </c>
    </row>
    <row r="110" spans="35:51" x14ac:dyDescent="0.55000000000000004">
      <c r="AJ110" s="46" t="e">
        <f ca="1"/>
        <v>#NAME?</v>
      </c>
      <c r="AK110" s="46" t="e">
        <f ca="1"/>
        <v>#NAME?</v>
      </c>
      <c r="AL110" s="46" t="e">
        <f ca="1"/>
        <v>#NAME?</v>
      </c>
      <c r="AM110" s="46" t="e">
        <f ca="1"/>
        <v>#NAME?</v>
      </c>
      <c r="AN110" s="46" t="e">
        <f ca="1"/>
        <v>#NAME?</v>
      </c>
      <c r="AO110" s="46" t="e">
        <f ca="1"/>
        <v>#NAME?</v>
      </c>
      <c r="AP110" s="46" t="e">
        <f ca="1"/>
        <v>#NAME?</v>
      </c>
      <c r="AS110" s="47" t="e">
        <f ca="1"/>
        <v>#NAME?</v>
      </c>
      <c r="AT110" s="47" t="e">
        <f ca="1"/>
        <v>#NAME?</v>
      </c>
      <c r="AU110" s="47" t="e">
        <f ca="1"/>
        <v>#NAME?</v>
      </c>
      <c r="AV110" s="47" t="e">
        <f ca="1"/>
        <v>#NAME?</v>
      </c>
      <c r="AW110" s="47" t="e">
        <f ca="1"/>
        <v>#NAME?</v>
      </c>
      <c r="AX110" s="47" t="e">
        <f ca="1"/>
        <v>#NAME?</v>
      </c>
      <c r="AY110" s="47" t="e">
        <f ca="1"/>
        <v>#NAME?</v>
      </c>
    </row>
    <row r="111" spans="35:51" x14ac:dyDescent="0.55000000000000004">
      <c r="AJ111" s="46" t="e">
        <f ca="1"/>
        <v>#NAME?</v>
      </c>
      <c r="AK111" s="46" t="e">
        <f ca="1"/>
        <v>#NAME?</v>
      </c>
      <c r="AL111" s="46" t="e">
        <f ca="1"/>
        <v>#NAME?</v>
      </c>
      <c r="AM111" s="46" t="e">
        <f ca="1"/>
        <v>#NAME?</v>
      </c>
      <c r="AN111" s="46" t="e">
        <f ca="1"/>
        <v>#NAME?</v>
      </c>
      <c r="AO111" s="46" t="e">
        <f ca="1"/>
        <v>#NAME?</v>
      </c>
      <c r="AP111" s="46" t="e">
        <f ca="1"/>
        <v>#NAME?</v>
      </c>
      <c r="AS111" s="46" t="e">
        <f ca="1"/>
        <v>#NAME?</v>
      </c>
      <c r="AT111" s="46" t="e">
        <f ca="1"/>
        <v>#NAME?</v>
      </c>
      <c r="AU111" s="46" t="e">
        <f ca="1"/>
        <v>#NAME?</v>
      </c>
      <c r="AV111" s="46" t="e">
        <f ca="1"/>
        <v>#NAME?</v>
      </c>
      <c r="AW111" s="46" t="e">
        <f ca="1"/>
        <v>#NAME?</v>
      </c>
      <c r="AX111" s="46" t="e">
        <f ca="1"/>
        <v>#NAME?</v>
      </c>
      <c r="AY111" s="46" t="e">
        <f ca="1"/>
        <v>#NAME?</v>
      </c>
    </row>
    <row r="112" spans="35:51" x14ac:dyDescent="0.55000000000000004">
      <c r="AJ112" s="46" t="e">
        <f ca="1"/>
        <v>#NAME?</v>
      </c>
      <c r="AK112" s="46" t="e">
        <f ca="1"/>
        <v>#NAME?</v>
      </c>
      <c r="AL112" s="46" t="e">
        <f ca="1"/>
        <v>#NAME?</v>
      </c>
      <c r="AM112" s="46" t="e">
        <f ca="1"/>
        <v>#NAME?</v>
      </c>
      <c r="AN112" s="46" t="e">
        <f ca="1"/>
        <v>#NAME?</v>
      </c>
      <c r="AO112" s="46" t="e">
        <f ca="1"/>
        <v>#NAME?</v>
      </c>
      <c r="AP112" s="46" t="e">
        <f ca="1"/>
        <v>#NAME?</v>
      </c>
      <c r="AS112" s="47" t="e">
        <f ca="1"/>
        <v>#NAME?</v>
      </c>
      <c r="AT112" s="47" t="e">
        <f ca="1"/>
        <v>#NAME?</v>
      </c>
      <c r="AU112" s="47" t="e">
        <f ca="1"/>
        <v>#NAME?</v>
      </c>
      <c r="AV112" s="47" t="e">
        <f ca="1"/>
        <v>#NAME?</v>
      </c>
      <c r="AW112" s="47" t="e">
        <f ca="1"/>
        <v>#NAME?</v>
      </c>
      <c r="AX112" s="47" t="e">
        <f ca="1"/>
        <v>#NAME?</v>
      </c>
      <c r="AY112" s="47" t="e">
        <f ca="1"/>
        <v>#NAME?</v>
      </c>
    </row>
    <row r="113" spans="35:51" x14ac:dyDescent="0.55000000000000004">
      <c r="AJ113" s="46" t="e">
        <f ca="1"/>
        <v>#NAME?</v>
      </c>
      <c r="AK113" s="46" t="e">
        <f ca="1"/>
        <v>#NAME?</v>
      </c>
      <c r="AL113" s="46" t="e">
        <f ca="1"/>
        <v>#NAME?</v>
      </c>
      <c r="AM113" s="46" t="e">
        <f ca="1"/>
        <v>#NAME?</v>
      </c>
      <c r="AN113" s="46" t="e">
        <f ca="1"/>
        <v>#NAME?</v>
      </c>
      <c r="AO113" s="46" t="e">
        <f ca="1"/>
        <v>#NAME?</v>
      </c>
      <c r="AP113" s="46" t="e">
        <f ca="1"/>
        <v>#NAME?</v>
      </c>
      <c r="AS113" s="46" t="e">
        <f ca="1"/>
        <v>#NAME?</v>
      </c>
      <c r="AT113" s="46" t="e">
        <f ca="1"/>
        <v>#NAME?</v>
      </c>
      <c r="AU113" s="46" t="e">
        <f ca="1"/>
        <v>#NAME?</v>
      </c>
      <c r="AV113" s="46" t="e">
        <f ca="1"/>
        <v>#NAME?</v>
      </c>
      <c r="AW113" s="46" t="e">
        <f ca="1"/>
        <v>#NAME?</v>
      </c>
      <c r="AX113" s="46" t="e">
        <f ca="1"/>
        <v>#NAME?</v>
      </c>
      <c r="AY113" s="46" t="e">
        <f ca="1"/>
        <v>#NAME?</v>
      </c>
    </row>
    <row r="114" spans="35:51" x14ac:dyDescent="0.55000000000000004">
      <c r="AJ114" s="46" t="e">
        <f ca="1"/>
        <v>#NAME?</v>
      </c>
      <c r="AK114" s="46" t="e">
        <f ca="1"/>
        <v>#NAME?</v>
      </c>
      <c r="AL114" s="46" t="e">
        <f ca="1"/>
        <v>#NAME?</v>
      </c>
      <c r="AM114" s="46" t="e">
        <f ca="1"/>
        <v>#NAME?</v>
      </c>
      <c r="AN114" s="46" t="e">
        <f ca="1"/>
        <v>#NAME?</v>
      </c>
      <c r="AO114" s="46" t="e">
        <f ca="1"/>
        <v>#NAME?</v>
      </c>
      <c r="AP114" s="46" t="e">
        <f ca="1"/>
        <v>#NAME?</v>
      </c>
      <c r="AS114" s="47" t="e">
        <f ca="1"/>
        <v>#NAME?</v>
      </c>
      <c r="AT114" s="47" t="e">
        <f ca="1"/>
        <v>#NAME?</v>
      </c>
      <c r="AU114" s="47" t="e">
        <f ca="1"/>
        <v>#NAME?</v>
      </c>
      <c r="AV114" s="47" t="e">
        <f ca="1"/>
        <v>#NAME?</v>
      </c>
      <c r="AW114" s="47" t="e">
        <f ca="1"/>
        <v>#NAME?</v>
      </c>
      <c r="AX114" s="47" t="e">
        <f ca="1"/>
        <v>#NAME?</v>
      </c>
      <c r="AY114" s="47" t="e">
        <f ca="1"/>
        <v>#NAME?</v>
      </c>
    </row>
    <row r="115" spans="35:51" x14ac:dyDescent="0.55000000000000004">
      <c r="AS115" s="46" t="e">
        <f ca="1"/>
        <v>#NAME?</v>
      </c>
      <c r="AT115" s="46" t="e">
        <f ca="1"/>
        <v>#NAME?</v>
      </c>
      <c r="AU115" s="46" t="e">
        <f ca="1"/>
        <v>#NAME?</v>
      </c>
      <c r="AV115" s="46" t="e">
        <f ca="1"/>
        <v>#NAME?</v>
      </c>
      <c r="AW115" s="46" t="e">
        <f ca="1"/>
        <v>#NAME?</v>
      </c>
      <c r="AX115" s="46" t="e">
        <f ca="1"/>
        <v>#NAME?</v>
      </c>
      <c r="AY115" s="46" t="e">
        <f ca="1"/>
        <v>#NAME?</v>
      </c>
    </row>
    <row r="116" spans="35:51" x14ac:dyDescent="0.55000000000000004">
      <c r="AS116" s="47" t="e">
        <f ca="1"/>
        <v>#NAME?</v>
      </c>
      <c r="AT116" s="47" t="e">
        <f ca="1"/>
        <v>#NAME?</v>
      </c>
      <c r="AU116" s="47" t="e">
        <f ca="1"/>
        <v>#NAME?</v>
      </c>
      <c r="AV116" s="47" t="e">
        <f ca="1"/>
        <v>#NAME?</v>
      </c>
      <c r="AW116" s="47" t="e">
        <f ca="1"/>
        <v>#NAME?</v>
      </c>
      <c r="AX116" s="47" t="e">
        <f ca="1"/>
        <v>#NAME?</v>
      </c>
      <c r="AY116" s="47" t="e">
        <f ca="1"/>
        <v>#NAME?</v>
      </c>
    </row>
    <row r="117" spans="35:51" x14ac:dyDescent="0.55000000000000004">
      <c r="AJ117" s="23" t="e" cm="1">
        <f t="array" aca="1" ref="AJ117:AP122" ca="1">_xlfn.MAP(_xlfn.ANCHORARRAY(AJ109),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17" s="23" t="e">
        <f ca="1"/>
        <v>#NAME?</v>
      </c>
      <c r="AL117" s="23" t="e">
        <f ca="1"/>
        <v>#NAME?</v>
      </c>
      <c r="AM117" s="23" t="e">
        <f ca="1"/>
        <v>#NAME?</v>
      </c>
      <c r="AN117" s="23" t="e">
        <f ca="1"/>
        <v>#NAME?</v>
      </c>
      <c r="AO117" s="23" t="e">
        <f ca="1"/>
        <v>#NAME?</v>
      </c>
      <c r="AP117" s="23" t="e">
        <f ca="1"/>
        <v>#NAME?</v>
      </c>
      <c r="AS117" s="46" t="e">
        <f ca="1"/>
        <v>#NAME?</v>
      </c>
      <c r="AT117" s="46" t="e">
        <f ca="1"/>
        <v>#NAME?</v>
      </c>
      <c r="AU117" s="46" t="e">
        <f ca="1"/>
        <v>#NAME?</v>
      </c>
      <c r="AV117" s="46" t="e">
        <f ca="1"/>
        <v>#NAME?</v>
      </c>
      <c r="AW117" s="46" t="e">
        <f ca="1"/>
        <v>#NAME?</v>
      </c>
      <c r="AX117" s="46" t="e">
        <f ca="1"/>
        <v>#NAME?</v>
      </c>
      <c r="AY117" s="46" t="e">
        <f ca="1"/>
        <v>#NAME?</v>
      </c>
    </row>
    <row r="118" spans="35:51" x14ac:dyDescent="0.55000000000000004">
      <c r="AJ118" s="23" t="e">
        <f ca="1"/>
        <v>#NAME?</v>
      </c>
      <c r="AK118" s="23" t="e">
        <f ca="1"/>
        <v>#NAME?</v>
      </c>
      <c r="AL118" s="23" t="e">
        <f ca="1"/>
        <v>#NAME?</v>
      </c>
      <c r="AM118" s="23" t="e">
        <f ca="1"/>
        <v>#NAME?</v>
      </c>
      <c r="AN118" s="23" t="e">
        <f ca="1"/>
        <v>#NAME?</v>
      </c>
      <c r="AO118" s="23" t="e">
        <f ca="1"/>
        <v>#NAME?</v>
      </c>
      <c r="AP118" s="23" t="e">
        <f ca="1"/>
        <v>#NAME?</v>
      </c>
      <c r="AS118" s="47" t="e">
        <f ca="1"/>
        <v>#NAME?</v>
      </c>
      <c r="AT118" s="47" t="e">
        <f ca="1"/>
        <v>#NAME?</v>
      </c>
      <c r="AU118" s="47" t="e">
        <f ca="1"/>
        <v>#NAME?</v>
      </c>
      <c r="AV118" s="47" t="e">
        <f ca="1"/>
        <v>#NAME?</v>
      </c>
      <c r="AW118" s="47" t="e">
        <f ca="1"/>
        <v>#NAME?</v>
      </c>
      <c r="AX118" s="47" t="e">
        <f ca="1"/>
        <v>#NAME?</v>
      </c>
      <c r="AY118" s="47" t="e">
        <f ca="1"/>
        <v>#NAME?</v>
      </c>
    </row>
    <row r="119" spans="35:51" x14ac:dyDescent="0.55000000000000004">
      <c r="AJ119" s="23" t="e">
        <f ca="1"/>
        <v>#NAME?</v>
      </c>
      <c r="AK119" s="23" t="e">
        <f ca="1"/>
        <v>#NAME?</v>
      </c>
      <c r="AL119" s="23" t="e">
        <f ca="1"/>
        <v>#NAME?</v>
      </c>
      <c r="AM119" s="23" t="e">
        <f ca="1"/>
        <v>#NAME?</v>
      </c>
      <c r="AN119" s="23" t="e">
        <f ca="1"/>
        <v>#NAME?</v>
      </c>
      <c r="AO119" s="23" t="e">
        <f ca="1"/>
        <v>#NAME?</v>
      </c>
      <c r="AP119" s="23" t="e">
        <f ca="1"/>
        <v>#NAME?</v>
      </c>
      <c r="AS119" s="46" t="e">
        <f ca="1"/>
        <v>#NAME?</v>
      </c>
      <c r="AT119" s="46" t="e">
        <f ca="1"/>
        <v>#NAME?</v>
      </c>
      <c r="AU119" s="46" t="e">
        <f ca="1"/>
        <v>#NAME?</v>
      </c>
      <c r="AV119" s="46" t="e">
        <f ca="1"/>
        <v>#NAME?</v>
      </c>
      <c r="AW119" s="46" t="e">
        <f ca="1"/>
        <v>#NAME?</v>
      </c>
      <c r="AX119" s="46" t="e">
        <f ca="1"/>
        <v>#NAME?</v>
      </c>
      <c r="AY119" s="46" t="e">
        <f ca="1"/>
        <v>#NAME?</v>
      </c>
    </row>
    <row r="120" spans="35:51" x14ac:dyDescent="0.55000000000000004">
      <c r="AJ120" s="23" t="e">
        <f ca="1"/>
        <v>#NAME?</v>
      </c>
      <c r="AK120" s="23" t="e">
        <f ca="1"/>
        <v>#NAME?</v>
      </c>
      <c r="AL120" s="23" t="e">
        <f ca="1"/>
        <v>#NAME?</v>
      </c>
      <c r="AM120" s="23" t="e">
        <f ca="1"/>
        <v>#NAME?</v>
      </c>
      <c r="AN120" s="23" t="e">
        <f ca="1"/>
        <v>#NAME?</v>
      </c>
      <c r="AO120" s="23" t="e">
        <f ca="1"/>
        <v>#NAME?</v>
      </c>
      <c r="AP120" s="23" t="e">
        <f ca="1"/>
        <v>#NAME?</v>
      </c>
      <c r="AS120" s="47" t="e">
        <f ca="1"/>
        <v>#NAME?</v>
      </c>
      <c r="AT120" s="47" t="e">
        <f ca="1"/>
        <v>#NAME?</v>
      </c>
      <c r="AU120" s="47" t="e">
        <f ca="1"/>
        <v>#NAME?</v>
      </c>
      <c r="AV120" s="47" t="e">
        <f ca="1"/>
        <v>#NAME?</v>
      </c>
      <c r="AW120" s="47" t="e">
        <f ca="1"/>
        <v>#NAME?</v>
      </c>
      <c r="AX120" s="47" t="e">
        <f ca="1"/>
        <v>#NAME?</v>
      </c>
      <c r="AY120" s="47" t="e">
        <f ca="1"/>
        <v>#NAME?</v>
      </c>
    </row>
    <row r="121" spans="35:51" x14ac:dyDescent="0.55000000000000004">
      <c r="AJ121" s="23" t="e">
        <f ca="1"/>
        <v>#NAME?</v>
      </c>
      <c r="AK121" s="23" t="e">
        <f ca="1"/>
        <v>#NAME?</v>
      </c>
      <c r="AL121" s="23" t="e">
        <f ca="1"/>
        <v>#NAME?</v>
      </c>
      <c r="AM121" s="23" t="e">
        <f ca="1"/>
        <v>#NAME?</v>
      </c>
      <c r="AN121" s="23" t="e">
        <f ca="1"/>
        <v>#NAME?</v>
      </c>
      <c r="AO121" s="23" t="e">
        <f ca="1"/>
        <v>#NAME?</v>
      </c>
      <c r="AP121" s="23" t="e">
        <f ca="1"/>
        <v>#NAME?</v>
      </c>
    </row>
    <row r="122" spans="35:51" x14ac:dyDescent="0.55000000000000004">
      <c r="AJ122" s="23" t="e">
        <f ca="1"/>
        <v>#NAME?</v>
      </c>
      <c r="AK122" s="23" t="e">
        <f ca="1"/>
        <v>#NAME?</v>
      </c>
      <c r="AL122" s="23" t="e">
        <f ca="1"/>
        <v>#NAME?</v>
      </c>
      <c r="AM122" s="23" t="e">
        <f ca="1"/>
        <v>#NAME?</v>
      </c>
      <c r="AN122" s="23" t="e">
        <f ca="1"/>
        <v>#NAME?</v>
      </c>
      <c r="AO122" s="23" t="e">
        <f ca="1"/>
        <v>#NAME?</v>
      </c>
      <c r="AP122" s="23" t="e">
        <f ca="1"/>
        <v>#NAME?</v>
      </c>
    </row>
    <row r="125" spans="35:51" x14ac:dyDescent="0.55000000000000004">
      <c r="AI125" s="45">
        <f>AI109+1</f>
        <v>8</v>
      </c>
      <c r="AJ125" s="46" t="e" cm="1">
        <f t="array" aca="1" ref="AJ125:AP130" ca="1">_xlfn.LET(_xlpm.dt, _xlfn._xlws.FILTER(monthly.calendar, month.nums=AI125), IF(MONTH(_xlpm.dt)&lt;&gt;AI125,"",_xlpm.dt))</f>
        <v>#NAME?</v>
      </c>
      <c r="AK125" s="46" t="e">
        <f ca="1"/>
        <v>#NAME?</v>
      </c>
      <c r="AL125" s="46" t="e">
        <f ca="1"/>
        <v>#NAME?</v>
      </c>
      <c r="AM125" s="46" t="e">
        <f ca="1"/>
        <v>#NAME?</v>
      </c>
      <c r="AN125" s="46" t="e">
        <f ca="1"/>
        <v>#NAME?</v>
      </c>
      <c r="AO125" s="46" t="e">
        <f ca="1"/>
        <v>#NAME?</v>
      </c>
      <c r="AP125" s="46" t="e">
        <f ca="1"/>
        <v>#NAME?</v>
      </c>
      <c r="AS125" s="46" t="e" cm="1">
        <f t="array" aca="1" ref="AS125:AY136" ca="1">_xlfn.WRAPROWS(_xlfn.TOCOL(_xlfn.HSTACK(_xlfn.ANCHORARRAY(AJ125),_xlfn.ANCHORARRAY(AJ133))),7)</f>
        <v>#NAME?</v>
      </c>
      <c r="AT125" s="46" t="e">
        <f ca="1"/>
        <v>#NAME?</v>
      </c>
      <c r="AU125" s="46" t="e">
        <f ca="1"/>
        <v>#NAME?</v>
      </c>
      <c r="AV125" s="46" t="e">
        <f ca="1"/>
        <v>#NAME?</v>
      </c>
      <c r="AW125" s="46" t="e">
        <f ca="1"/>
        <v>#NAME?</v>
      </c>
      <c r="AX125" s="46" t="e">
        <f ca="1"/>
        <v>#NAME?</v>
      </c>
      <c r="AY125" s="46" t="e">
        <f ca="1"/>
        <v>#NAME?</v>
      </c>
    </row>
    <row r="126" spans="35:51" x14ac:dyDescent="0.55000000000000004">
      <c r="AJ126" s="46" t="e">
        <f ca="1"/>
        <v>#NAME?</v>
      </c>
      <c r="AK126" s="46" t="e">
        <f ca="1"/>
        <v>#NAME?</v>
      </c>
      <c r="AL126" s="46" t="e">
        <f ca="1"/>
        <v>#NAME?</v>
      </c>
      <c r="AM126" s="46" t="e">
        <f ca="1"/>
        <v>#NAME?</v>
      </c>
      <c r="AN126" s="46" t="e">
        <f ca="1"/>
        <v>#NAME?</v>
      </c>
      <c r="AO126" s="46" t="e">
        <f ca="1"/>
        <v>#NAME?</v>
      </c>
      <c r="AP126" s="46" t="e">
        <f ca="1"/>
        <v>#NAME?</v>
      </c>
      <c r="AS126" s="47" t="e">
        <f ca="1"/>
        <v>#NAME?</v>
      </c>
      <c r="AT126" s="47" t="e">
        <f ca="1"/>
        <v>#NAME?</v>
      </c>
      <c r="AU126" s="47" t="e">
        <f ca="1"/>
        <v>#NAME?</v>
      </c>
      <c r="AV126" s="47" t="e">
        <f ca="1"/>
        <v>#NAME?</v>
      </c>
      <c r="AW126" s="47" t="e">
        <f ca="1"/>
        <v>#NAME?</v>
      </c>
      <c r="AX126" s="47" t="e">
        <f ca="1"/>
        <v>#NAME?</v>
      </c>
      <c r="AY126" s="47" t="e">
        <f ca="1"/>
        <v>#NAME?</v>
      </c>
    </row>
    <row r="127" spans="35:51" x14ac:dyDescent="0.55000000000000004">
      <c r="AJ127" s="46" t="e">
        <f ca="1"/>
        <v>#NAME?</v>
      </c>
      <c r="AK127" s="46" t="e">
        <f ca="1"/>
        <v>#NAME?</v>
      </c>
      <c r="AL127" s="46" t="e">
        <f ca="1"/>
        <v>#NAME?</v>
      </c>
      <c r="AM127" s="46" t="e">
        <f ca="1"/>
        <v>#NAME?</v>
      </c>
      <c r="AN127" s="46" t="e">
        <f ca="1"/>
        <v>#NAME?</v>
      </c>
      <c r="AO127" s="46" t="e">
        <f ca="1"/>
        <v>#NAME?</v>
      </c>
      <c r="AP127" s="46" t="e">
        <f ca="1"/>
        <v>#NAME?</v>
      </c>
      <c r="AS127" s="46" t="e">
        <f ca="1"/>
        <v>#NAME?</v>
      </c>
      <c r="AT127" s="46" t="e">
        <f ca="1"/>
        <v>#NAME?</v>
      </c>
      <c r="AU127" s="46" t="e">
        <f ca="1"/>
        <v>#NAME?</v>
      </c>
      <c r="AV127" s="46" t="e">
        <f ca="1"/>
        <v>#NAME?</v>
      </c>
      <c r="AW127" s="46" t="e">
        <f ca="1"/>
        <v>#NAME?</v>
      </c>
      <c r="AX127" s="46" t="e">
        <f ca="1"/>
        <v>#NAME?</v>
      </c>
      <c r="AY127" s="46" t="e">
        <f ca="1"/>
        <v>#NAME?</v>
      </c>
    </row>
    <row r="128" spans="35:51" x14ac:dyDescent="0.55000000000000004">
      <c r="AJ128" s="46" t="e">
        <f ca="1"/>
        <v>#NAME?</v>
      </c>
      <c r="AK128" s="46" t="e">
        <f ca="1"/>
        <v>#NAME?</v>
      </c>
      <c r="AL128" s="46" t="e">
        <f ca="1"/>
        <v>#NAME?</v>
      </c>
      <c r="AM128" s="46" t="e">
        <f ca="1"/>
        <v>#NAME?</v>
      </c>
      <c r="AN128" s="46" t="e">
        <f ca="1"/>
        <v>#NAME?</v>
      </c>
      <c r="AO128" s="46" t="e">
        <f ca="1"/>
        <v>#NAME?</v>
      </c>
      <c r="AP128" s="46" t="e">
        <f ca="1"/>
        <v>#NAME?</v>
      </c>
      <c r="AS128" s="47" t="e">
        <f ca="1"/>
        <v>#NAME?</v>
      </c>
      <c r="AT128" s="47" t="e">
        <f ca="1"/>
        <v>#NAME?</v>
      </c>
      <c r="AU128" s="47" t="e">
        <f ca="1"/>
        <v>#NAME?</v>
      </c>
      <c r="AV128" s="47" t="e">
        <f ca="1"/>
        <v>#NAME?</v>
      </c>
      <c r="AW128" s="47" t="e">
        <f ca="1"/>
        <v>#NAME?</v>
      </c>
      <c r="AX128" s="47" t="e">
        <f ca="1"/>
        <v>#NAME?</v>
      </c>
      <c r="AY128" s="47" t="e">
        <f ca="1"/>
        <v>#NAME?</v>
      </c>
    </row>
    <row r="129" spans="35:51" x14ac:dyDescent="0.55000000000000004">
      <c r="AJ129" s="46" t="e">
        <f ca="1"/>
        <v>#NAME?</v>
      </c>
      <c r="AK129" s="46" t="e">
        <f ca="1"/>
        <v>#NAME?</v>
      </c>
      <c r="AL129" s="46" t="e">
        <f ca="1"/>
        <v>#NAME?</v>
      </c>
      <c r="AM129" s="46" t="e">
        <f ca="1"/>
        <v>#NAME?</v>
      </c>
      <c r="AN129" s="46" t="e">
        <f ca="1"/>
        <v>#NAME?</v>
      </c>
      <c r="AO129" s="46" t="e">
        <f ca="1"/>
        <v>#NAME?</v>
      </c>
      <c r="AP129" s="46" t="e">
        <f ca="1"/>
        <v>#NAME?</v>
      </c>
      <c r="AS129" s="46" t="e">
        <f ca="1"/>
        <v>#NAME?</v>
      </c>
      <c r="AT129" s="46" t="e">
        <f ca="1"/>
        <v>#NAME?</v>
      </c>
      <c r="AU129" s="46" t="e">
        <f ca="1"/>
        <v>#NAME?</v>
      </c>
      <c r="AV129" s="46" t="e">
        <f ca="1"/>
        <v>#NAME?</v>
      </c>
      <c r="AW129" s="46" t="e">
        <f ca="1"/>
        <v>#NAME?</v>
      </c>
      <c r="AX129" s="46" t="e">
        <f ca="1"/>
        <v>#NAME?</v>
      </c>
      <c r="AY129" s="46" t="e">
        <f ca="1"/>
        <v>#NAME?</v>
      </c>
    </row>
    <row r="130" spans="35:51" x14ac:dyDescent="0.55000000000000004">
      <c r="AJ130" s="46" t="e">
        <f ca="1"/>
        <v>#NAME?</v>
      </c>
      <c r="AK130" s="46" t="e">
        <f ca="1"/>
        <v>#NAME?</v>
      </c>
      <c r="AL130" s="46" t="e">
        <f ca="1"/>
        <v>#NAME?</v>
      </c>
      <c r="AM130" s="46" t="e">
        <f ca="1"/>
        <v>#NAME?</v>
      </c>
      <c r="AN130" s="46" t="e">
        <f ca="1"/>
        <v>#NAME?</v>
      </c>
      <c r="AO130" s="46" t="e">
        <f ca="1"/>
        <v>#NAME?</v>
      </c>
      <c r="AP130" s="46" t="e">
        <f ca="1"/>
        <v>#NAME?</v>
      </c>
      <c r="AS130" s="47" t="e">
        <f ca="1"/>
        <v>#NAME?</v>
      </c>
      <c r="AT130" s="47" t="e">
        <f ca="1"/>
        <v>#NAME?</v>
      </c>
      <c r="AU130" s="47" t="e">
        <f ca="1"/>
        <v>#NAME?</v>
      </c>
      <c r="AV130" s="47" t="e">
        <f ca="1"/>
        <v>#NAME?</v>
      </c>
      <c r="AW130" s="47" t="e">
        <f ca="1"/>
        <v>#NAME?</v>
      </c>
      <c r="AX130" s="47" t="e">
        <f ca="1"/>
        <v>#NAME?</v>
      </c>
      <c r="AY130" s="47" t="e">
        <f ca="1"/>
        <v>#NAME?</v>
      </c>
    </row>
    <row r="131" spans="35:51" x14ac:dyDescent="0.55000000000000004">
      <c r="AS131" s="46" t="e">
        <f ca="1"/>
        <v>#NAME?</v>
      </c>
      <c r="AT131" s="46" t="e">
        <f ca="1"/>
        <v>#NAME?</v>
      </c>
      <c r="AU131" s="46" t="e">
        <f ca="1"/>
        <v>#NAME?</v>
      </c>
      <c r="AV131" s="46" t="e">
        <f ca="1"/>
        <v>#NAME?</v>
      </c>
      <c r="AW131" s="46" t="e">
        <f ca="1"/>
        <v>#NAME?</v>
      </c>
      <c r="AX131" s="46" t="e">
        <f ca="1"/>
        <v>#NAME?</v>
      </c>
      <c r="AY131" s="46" t="e">
        <f ca="1"/>
        <v>#NAME?</v>
      </c>
    </row>
    <row r="132" spans="35:51" x14ac:dyDescent="0.55000000000000004">
      <c r="AS132" s="47" t="e">
        <f ca="1"/>
        <v>#NAME?</v>
      </c>
      <c r="AT132" s="47" t="e">
        <f ca="1"/>
        <v>#NAME?</v>
      </c>
      <c r="AU132" s="47" t="e">
        <f ca="1"/>
        <v>#NAME?</v>
      </c>
      <c r="AV132" s="47" t="e">
        <f ca="1"/>
        <v>#NAME?</v>
      </c>
      <c r="AW132" s="47" t="e">
        <f ca="1"/>
        <v>#NAME?</v>
      </c>
      <c r="AX132" s="47" t="e">
        <f ca="1"/>
        <v>#NAME?</v>
      </c>
      <c r="AY132" s="47" t="e">
        <f ca="1"/>
        <v>#NAME?</v>
      </c>
    </row>
    <row r="133" spans="35:51" x14ac:dyDescent="0.55000000000000004">
      <c r="AJ133" s="23" t="e" cm="1">
        <f t="array" aca="1" ref="AJ133:AP138" ca="1">_xlfn.MAP(_xlfn.ANCHORARRAY(AJ125),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33" s="23" t="e">
        <f ca="1"/>
        <v>#NAME?</v>
      </c>
      <c r="AL133" s="23" t="e">
        <f ca="1"/>
        <v>#NAME?</v>
      </c>
      <c r="AM133" s="23" t="e">
        <f ca="1"/>
        <v>#NAME?</v>
      </c>
      <c r="AN133" s="23" t="e">
        <f ca="1"/>
        <v>#NAME?</v>
      </c>
      <c r="AO133" s="23" t="e">
        <f ca="1"/>
        <v>#NAME?</v>
      </c>
      <c r="AP133" s="23" t="e">
        <f ca="1"/>
        <v>#NAME?</v>
      </c>
      <c r="AS133" s="46" t="e">
        <f ca="1"/>
        <v>#NAME?</v>
      </c>
      <c r="AT133" s="46" t="e">
        <f ca="1"/>
        <v>#NAME?</v>
      </c>
      <c r="AU133" s="46" t="e">
        <f ca="1"/>
        <v>#NAME?</v>
      </c>
      <c r="AV133" s="46" t="e">
        <f ca="1"/>
        <v>#NAME?</v>
      </c>
      <c r="AW133" s="46" t="e">
        <f ca="1"/>
        <v>#NAME?</v>
      </c>
      <c r="AX133" s="46" t="e">
        <f ca="1"/>
        <v>#NAME?</v>
      </c>
      <c r="AY133" s="46" t="e">
        <f ca="1"/>
        <v>#NAME?</v>
      </c>
    </row>
    <row r="134" spans="35:51" x14ac:dyDescent="0.55000000000000004">
      <c r="AJ134" s="23" t="e">
        <f ca="1"/>
        <v>#NAME?</v>
      </c>
      <c r="AK134" s="23" t="e">
        <f ca="1"/>
        <v>#NAME?</v>
      </c>
      <c r="AL134" s="23" t="e">
        <f ca="1"/>
        <v>#NAME?</v>
      </c>
      <c r="AM134" s="23" t="e">
        <f ca="1"/>
        <v>#NAME?</v>
      </c>
      <c r="AN134" s="23" t="e">
        <f ca="1"/>
        <v>#NAME?</v>
      </c>
      <c r="AO134" s="23" t="e">
        <f ca="1"/>
        <v>#NAME?</v>
      </c>
      <c r="AP134" s="23" t="e">
        <f ca="1"/>
        <v>#NAME?</v>
      </c>
      <c r="AS134" s="47" t="e">
        <f ca="1"/>
        <v>#NAME?</v>
      </c>
      <c r="AT134" s="47" t="e">
        <f ca="1"/>
        <v>#NAME?</v>
      </c>
      <c r="AU134" s="47" t="e">
        <f ca="1"/>
        <v>#NAME?</v>
      </c>
      <c r="AV134" s="47" t="e">
        <f ca="1"/>
        <v>#NAME?</v>
      </c>
      <c r="AW134" s="47" t="e">
        <f ca="1"/>
        <v>#NAME?</v>
      </c>
      <c r="AX134" s="47" t="e">
        <f ca="1"/>
        <v>#NAME?</v>
      </c>
      <c r="AY134" s="47" t="e">
        <f ca="1"/>
        <v>#NAME?</v>
      </c>
    </row>
    <row r="135" spans="35:51" x14ac:dyDescent="0.55000000000000004">
      <c r="AJ135" s="23" t="e">
        <f ca="1"/>
        <v>#NAME?</v>
      </c>
      <c r="AK135" s="23" t="e">
        <f ca="1"/>
        <v>#NAME?</v>
      </c>
      <c r="AL135" s="23" t="e">
        <f ca="1"/>
        <v>#NAME?</v>
      </c>
      <c r="AM135" s="23" t="e">
        <f ca="1"/>
        <v>#NAME?</v>
      </c>
      <c r="AN135" s="23" t="e">
        <f ca="1"/>
        <v>#NAME?</v>
      </c>
      <c r="AO135" s="23" t="e">
        <f ca="1"/>
        <v>#NAME?</v>
      </c>
      <c r="AP135" s="23" t="e">
        <f ca="1"/>
        <v>#NAME?</v>
      </c>
      <c r="AS135" s="46" t="e">
        <f ca="1"/>
        <v>#NAME?</v>
      </c>
      <c r="AT135" s="46" t="e">
        <f ca="1"/>
        <v>#NAME?</v>
      </c>
      <c r="AU135" s="46" t="e">
        <f ca="1"/>
        <v>#NAME?</v>
      </c>
      <c r="AV135" s="46" t="e">
        <f ca="1"/>
        <v>#NAME?</v>
      </c>
      <c r="AW135" s="46" t="e">
        <f ca="1"/>
        <v>#NAME?</v>
      </c>
      <c r="AX135" s="46" t="e">
        <f ca="1"/>
        <v>#NAME?</v>
      </c>
      <c r="AY135" s="46" t="e">
        <f ca="1"/>
        <v>#NAME?</v>
      </c>
    </row>
    <row r="136" spans="35:51" x14ac:dyDescent="0.55000000000000004">
      <c r="AJ136" s="23" t="e">
        <f ca="1"/>
        <v>#NAME?</v>
      </c>
      <c r="AK136" s="23" t="e">
        <f ca="1"/>
        <v>#NAME?</v>
      </c>
      <c r="AL136" s="23" t="e">
        <f ca="1"/>
        <v>#NAME?</v>
      </c>
      <c r="AM136" s="23" t="e">
        <f ca="1"/>
        <v>#NAME?</v>
      </c>
      <c r="AN136" s="23" t="e">
        <f ca="1"/>
        <v>#NAME?</v>
      </c>
      <c r="AO136" s="23" t="e">
        <f ca="1"/>
        <v>#NAME?</v>
      </c>
      <c r="AP136" s="23" t="e">
        <f ca="1"/>
        <v>#NAME?</v>
      </c>
      <c r="AS136" s="47" t="e">
        <f ca="1"/>
        <v>#NAME?</v>
      </c>
      <c r="AT136" s="47" t="e">
        <f ca="1"/>
        <v>#NAME?</v>
      </c>
      <c r="AU136" s="47" t="e">
        <f ca="1"/>
        <v>#NAME?</v>
      </c>
      <c r="AV136" s="47" t="e">
        <f ca="1"/>
        <v>#NAME?</v>
      </c>
      <c r="AW136" s="47" t="e">
        <f ca="1"/>
        <v>#NAME?</v>
      </c>
      <c r="AX136" s="47" t="e">
        <f ca="1"/>
        <v>#NAME?</v>
      </c>
      <c r="AY136" s="47" t="e">
        <f ca="1"/>
        <v>#NAME?</v>
      </c>
    </row>
    <row r="137" spans="35:51" x14ac:dyDescent="0.55000000000000004">
      <c r="AJ137" s="23" t="e">
        <f ca="1"/>
        <v>#NAME?</v>
      </c>
      <c r="AK137" s="23" t="e">
        <f ca="1"/>
        <v>#NAME?</v>
      </c>
      <c r="AL137" s="23" t="e">
        <f ca="1"/>
        <v>#NAME?</v>
      </c>
      <c r="AM137" s="23" t="e">
        <f ca="1"/>
        <v>#NAME?</v>
      </c>
      <c r="AN137" s="23" t="e">
        <f ca="1"/>
        <v>#NAME?</v>
      </c>
      <c r="AO137" s="23" t="e">
        <f ca="1"/>
        <v>#NAME?</v>
      </c>
      <c r="AP137" s="23" t="e">
        <f ca="1"/>
        <v>#NAME?</v>
      </c>
    </row>
    <row r="138" spans="35:51" x14ac:dyDescent="0.55000000000000004">
      <c r="AJ138" s="23" t="e">
        <f ca="1"/>
        <v>#NAME?</v>
      </c>
      <c r="AK138" s="23" t="e">
        <f ca="1"/>
        <v>#NAME?</v>
      </c>
      <c r="AL138" s="23" t="e">
        <f ca="1"/>
        <v>#NAME?</v>
      </c>
      <c r="AM138" s="23" t="e">
        <f ca="1"/>
        <v>#NAME?</v>
      </c>
      <c r="AN138" s="23" t="e">
        <f ca="1"/>
        <v>#NAME?</v>
      </c>
      <c r="AO138" s="23" t="e">
        <f ca="1"/>
        <v>#NAME?</v>
      </c>
      <c r="AP138" s="23" t="e">
        <f ca="1"/>
        <v>#NAME?</v>
      </c>
    </row>
    <row r="141" spans="35:51" x14ac:dyDescent="0.55000000000000004">
      <c r="AI141" s="45">
        <f>AI125+1</f>
        <v>9</v>
      </c>
      <c r="AJ141" s="46" t="e" cm="1">
        <f t="array" aca="1" ref="AJ141:AP146" ca="1">_xlfn.LET(_xlpm.dt, _xlfn._xlws.FILTER(monthly.calendar, month.nums=AI141), IF(MONTH(_xlpm.dt)&lt;&gt;AI141,"",_xlpm.dt))</f>
        <v>#NAME?</v>
      </c>
      <c r="AK141" s="46" t="e">
        <f ca="1"/>
        <v>#NAME?</v>
      </c>
      <c r="AL141" s="46" t="e">
        <f ca="1"/>
        <v>#NAME?</v>
      </c>
      <c r="AM141" s="46" t="e">
        <f ca="1"/>
        <v>#NAME?</v>
      </c>
      <c r="AN141" s="46" t="e">
        <f ca="1"/>
        <v>#NAME?</v>
      </c>
      <c r="AO141" s="46" t="e">
        <f ca="1"/>
        <v>#NAME?</v>
      </c>
      <c r="AP141" s="46" t="e">
        <f ca="1"/>
        <v>#NAME?</v>
      </c>
      <c r="AS141" s="46" t="e" cm="1">
        <f t="array" aca="1" ref="AS141:AY152" ca="1">_xlfn.WRAPROWS(_xlfn.TOCOL(_xlfn.HSTACK(_xlfn.ANCHORARRAY(AJ141),_xlfn.ANCHORARRAY(AJ149))),7)</f>
        <v>#NAME?</v>
      </c>
      <c r="AT141" s="46" t="e">
        <f ca="1"/>
        <v>#NAME?</v>
      </c>
      <c r="AU141" s="46" t="e">
        <f ca="1"/>
        <v>#NAME?</v>
      </c>
      <c r="AV141" s="46" t="e">
        <f ca="1"/>
        <v>#NAME?</v>
      </c>
      <c r="AW141" s="46" t="e">
        <f ca="1"/>
        <v>#NAME?</v>
      </c>
      <c r="AX141" s="46" t="e">
        <f ca="1"/>
        <v>#NAME?</v>
      </c>
      <c r="AY141" s="46" t="e">
        <f ca="1"/>
        <v>#NAME?</v>
      </c>
    </row>
    <row r="142" spans="35:51" x14ac:dyDescent="0.55000000000000004">
      <c r="AJ142" s="46" t="e">
        <f ca="1"/>
        <v>#NAME?</v>
      </c>
      <c r="AK142" s="46" t="e">
        <f ca="1"/>
        <v>#NAME?</v>
      </c>
      <c r="AL142" s="46" t="e">
        <f ca="1"/>
        <v>#NAME?</v>
      </c>
      <c r="AM142" s="46" t="e">
        <f ca="1"/>
        <v>#NAME?</v>
      </c>
      <c r="AN142" s="46" t="e">
        <f ca="1"/>
        <v>#NAME?</v>
      </c>
      <c r="AO142" s="46" t="e">
        <f ca="1"/>
        <v>#NAME?</v>
      </c>
      <c r="AP142" s="46" t="e">
        <f ca="1"/>
        <v>#NAME?</v>
      </c>
      <c r="AS142" s="47" t="e">
        <f ca="1"/>
        <v>#NAME?</v>
      </c>
      <c r="AT142" s="47" t="e">
        <f ca="1"/>
        <v>#NAME?</v>
      </c>
      <c r="AU142" s="47" t="e">
        <f ca="1"/>
        <v>#NAME?</v>
      </c>
      <c r="AV142" s="47" t="e">
        <f ca="1"/>
        <v>#NAME?</v>
      </c>
      <c r="AW142" s="47" t="e">
        <f ca="1"/>
        <v>#NAME?</v>
      </c>
      <c r="AX142" s="47" t="e">
        <f ca="1"/>
        <v>#NAME?</v>
      </c>
      <c r="AY142" s="47" t="e">
        <f ca="1"/>
        <v>#NAME?</v>
      </c>
    </row>
    <row r="143" spans="35:51" x14ac:dyDescent="0.55000000000000004">
      <c r="AJ143" s="46" t="e">
        <f ca="1"/>
        <v>#NAME?</v>
      </c>
      <c r="AK143" s="46" t="e">
        <f ca="1"/>
        <v>#NAME?</v>
      </c>
      <c r="AL143" s="46" t="e">
        <f ca="1"/>
        <v>#NAME?</v>
      </c>
      <c r="AM143" s="46" t="e">
        <f ca="1"/>
        <v>#NAME?</v>
      </c>
      <c r="AN143" s="46" t="e">
        <f ca="1"/>
        <v>#NAME?</v>
      </c>
      <c r="AO143" s="46" t="e">
        <f ca="1"/>
        <v>#NAME?</v>
      </c>
      <c r="AP143" s="46" t="e">
        <f ca="1"/>
        <v>#NAME?</v>
      </c>
      <c r="AS143" s="46" t="e">
        <f ca="1"/>
        <v>#NAME?</v>
      </c>
      <c r="AT143" s="46" t="e">
        <f ca="1"/>
        <v>#NAME?</v>
      </c>
      <c r="AU143" s="46" t="e">
        <f ca="1"/>
        <v>#NAME?</v>
      </c>
      <c r="AV143" s="46" t="e">
        <f ca="1"/>
        <v>#NAME?</v>
      </c>
      <c r="AW143" s="46" t="e">
        <f ca="1"/>
        <v>#NAME?</v>
      </c>
      <c r="AX143" s="46" t="e">
        <f ca="1"/>
        <v>#NAME?</v>
      </c>
      <c r="AY143" s="46" t="e">
        <f ca="1"/>
        <v>#NAME?</v>
      </c>
    </row>
    <row r="144" spans="35:51" x14ac:dyDescent="0.55000000000000004">
      <c r="AJ144" s="46" t="e">
        <f ca="1"/>
        <v>#NAME?</v>
      </c>
      <c r="AK144" s="46" t="e">
        <f ca="1"/>
        <v>#NAME?</v>
      </c>
      <c r="AL144" s="46" t="e">
        <f ca="1"/>
        <v>#NAME?</v>
      </c>
      <c r="AM144" s="46" t="e">
        <f ca="1"/>
        <v>#NAME?</v>
      </c>
      <c r="AN144" s="46" t="e">
        <f ca="1"/>
        <v>#NAME?</v>
      </c>
      <c r="AO144" s="46" t="e">
        <f ca="1"/>
        <v>#NAME?</v>
      </c>
      <c r="AP144" s="46" t="e">
        <f ca="1"/>
        <v>#NAME?</v>
      </c>
      <c r="AS144" s="47" t="e">
        <f ca="1"/>
        <v>#NAME?</v>
      </c>
      <c r="AT144" s="47" t="e">
        <f ca="1"/>
        <v>#NAME?</v>
      </c>
      <c r="AU144" s="47" t="e">
        <f ca="1"/>
        <v>#NAME?</v>
      </c>
      <c r="AV144" s="47" t="e">
        <f ca="1"/>
        <v>#NAME?</v>
      </c>
      <c r="AW144" s="47" t="e">
        <f ca="1"/>
        <v>#NAME?</v>
      </c>
      <c r="AX144" s="47" t="e">
        <f ca="1"/>
        <v>#NAME?</v>
      </c>
      <c r="AY144" s="47" t="e">
        <f ca="1"/>
        <v>#NAME?</v>
      </c>
    </row>
    <row r="145" spans="35:51" x14ac:dyDescent="0.55000000000000004">
      <c r="AJ145" s="46" t="e">
        <f ca="1"/>
        <v>#NAME?</v>
      </c>
      <c r="AK145" s="46" t="e">
        <f ca="1"/>
        <v>#NAME?</v>
      </c>
      <c r="AL145" s="46" t="e">
        <f ca="1"/>
        <v>#NAME?</v>
      </c>
      <c r="AM145" s="46" t="e">
        <f ca="1"/>
        <v>#NAME?</v>
      </c>
      <c r="AN145" s="46" t="e">
        <f ca="1"/>
        <v>#NAME?</v>
      </c>
      <c r="AO145" s="46" t="e">
        <f ca="1"/>
        <v>#NAME?</v>
      </c>
      <c r="AP145" s="46" t="e">
        <f ca="1"/>
        <v>#NAME?</v>
      </c>
      <c r="AS145" s="46" t="e">
        <f ca="1"/>
        <v>#NAME?</v>
      </c>
      <c r="AT145" s="46" t="e">
        <f ca="1"/>
        <v>#NAME?</v>
      </c>
      <c r="AU145" s="46" t="e">
        <f ca="1"/>
        <v>#NAME?</v>
      </c>
      <c r="AV145" s="46" t="e">
        <f ca="1"/>
        <v>#NAME?</v>
      </c>
      <c r="AW145" s="46" t="e">
        <f ca="1"/>
        <v>#NAME?</v>
      </c>
      <c r="AX145" s="46" t="e">
        <f ca="1"/>
        <v>#NAME?</v>
      </c>
      <c r="AY145" s="46" t="e">
        <f ca="1"/>
        <v>#NAME?</v>
      </c>
    </row>
    <row r="146" spans="35:51" x14ac:dyDescent="0.55000000000000004">
      <c r="AJ146" s="46" t="e">
        <f ca="1"/>
        <v>#NAME?</v>
      </c>
      <c r="AK146" s="46" t="e">
        <f ca="1"/>
        <v>#NAME?</v>
      </c>
      <c r="AL146" s="46" t="e">
        <f ca="1"/>
        <v>#NAME?</v>
      </c>
      <c r="AM146" s="46" t="e">
        <f ca="1"/>
        <v>#NAME?</v>
      </c>
      <c r="AN146" s="46" t="e">
        <f ca="1"/>
        <v>#NAME?</v>
      </c>
      <c r="AO146" s="46" t="e">
        <f ca="1"/>
        <v>#NAME?</v>
      </c>
      <c r="AP146" s="46" t="e">
        <f ca="1"/>
        <v>#NAME?</v>
      </c>
      <c r="AS146" s="47" t="e">
        <f ca="1"/>
        <v>#NAME?</v>
      </c>
      <c r="AT146" s="47" t="e">
        <f ca="1"/>
        <v>#NAME?</v>
      </c>
      <c r="AU146" s="47" t="e">
        <f ca="1"/>
        <v>#NAME?</v>
      </c>
      <c r="AV146" s="47" t="e">
        <f ca="1"/>
        <v>#NAME?</v>
      </c>
      <c r="AW146" s="47" t="e">
        <f ca="1"/>
        <v>#NAME?</v>
      </c>
      <c r="AX146" s="47" t="e">
        <f ca="1"/>
        <v>#NAME?</v>
      </c>
      <c r="AY146" s="47" t="e">
        <f ca="1"/>
        <v>#NAME?</v>
      </c>
    </row>
    <row r="147" spans="35:51" x14ac:dyDescent="0.55000000000000004">
      <c r="AS147" s="46" t="e">
        <f ca="1"/>
        <v>#NAME?</v>
      </c>
      <c r="AT147" s="46" t="e">
        <f ca="1"/>
        <v>#NAME?</v>
      </c>
      <c r="AU147" s="46" t="e">
        <f ca="1"/>
        <v>#NAME?</v>
      </c>
      <c r="AV147" s="46" t="e">
        <f ca="1"/>
        <v>#NAME?</v>
      </c>
      <c r="AW147" s="46" t="e">
        <f ca="1"/>
        <v>#NAME?</v>
      </c>
      <c r="AX147" s="46" t="e">
        <f ca="1"/>
        <v>#NAME?</v>
      </c>
      <c r="AY147" s="46" t="e">
        <f ca="1"/>
        <v>#NAME?</v>
      </c>
    </row>
    <row r="148" spans="35:51" x14ac:dyDescent="0.55000000000000004">
      <c r="AS148" s="47" t="e">
        <f ca="1"/>
        <v>#NAME?</v>
      </c>
      <c r="AT148" s="47" t="e">
        <f ca="1"/>
        <v>#NAME?</v>
      </c>
      <c r="AU148" s="47" t="e">
        <f ca="1"/>
        <v>#NAME?</v>
      </c>
      <c r="AV148" s="47" t="e">
        <f ca="1"/>
        <v>#NAME?</v>
      </c>
      <c r="AW148" s="47" t="e">
        <f ca="1"/>
        <v>#NAME?</v>
      </c>
      <c r="AX148" s="47" t="e">
        <f ca="1"/>
        <v>#NAME?</v>
      </c>
      <c r="AY148" s="47" t="e">
        <f ca="1"/>
        <v>#NAME?</v>
      </c>
    </row>
    <row r="149" spans="35:51" x14ac:dyDescent="0.55000000000000004">
      <c r="AJ149" s="23" t="e" cm="1">
        <f t="array" aca="1" ref="AJ149:AP154" ca="1">_xlfn.MAP(_xlfn.ANCHORARRAY(AJ141),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49" s="23" t="e">
        <f ca="1"/>
        <v>#NAME?</v>
      </c>
      <c r="AL149" s="23" t="e">
        <f ca="1"/>
        <v>#NAME?</v>
      </c>
      <c r="AM149" s="23" t="e">
        <f ca="1"/>
        <v>#NAME?</v>
      </c>
      <c r="AN149" s="23" t="e">
        <f ca="1"/>
        <v>#NAME?</v>
      </c>
      <c r="AO149" s="23" t="e">
        <f ca="1"/>
        <v>#NAME?</v>
      </c>
      <c r="AP149" s="23" t="e">
        <f ca="1"/>
        <v>#NAME?</v>
      </c>
      <c r="AS149" s="46" t="e">
        <f ca="1"/>
        <v>#NAME?</v>
      </c>
      <c r="AT149" s="46" t="e">
        <f ca="1"/>
        <v>#NAME?</v>
      </c>
      <c r="AU149" s="46" t="e">
        <f ca="1"/>
        <v>#NAME?</v>
      </c>
      <c r="AV149" s="46" t="e">
        <f ca="1"/>
        <v>#NAME?</v>
      </c>
      <c r="AW149" s="46" t="e">
        <f ca="1"/>
        <v>#NAME?</v>
      </c>
      <c r="AX149" s="46" t="e">
        <f ca="1"/>
        <v>#NAME?</v>
      </c>
      <c r="AY149" s="46" t="e">
        <f ca="1"/>
        <v>#NAME?</v>
      </c>
    </row>
    <row r="150" spans="35:51" x14ac:dyDescent="0.55000000000000004">
      <c r="AJ150" s="23" t="e">
        <f ca="1"/>
        <v>#NAME?</v>
      </c>
      <c r="AK150" s="23" t="e">
        <f ca="1"/>
        <v>#NAME?</v>
      </c>
      <c r="AL150" s="23" t="e">
        <f ca="1"/>
        <v>#NAME?</v>
      </c>
      <c r="AM150" s="23" t="e">
        <f ca="1"/>
        <v>#NAME?</v>
      </c>
      <c r="AN150" s="23" t="e">
        <f ca="1"/>
        <v>#NAME?</v>
      </c>
      <c r="AO150" s="23" t="e">
        <f ca="1"/>
        <v>#NAME?</v>
      </c>
      <c r="AP150" s="23" t="e">
        <f ca="1"/>
        <v>#NAME?</v>
      </c>
      <c r="AS150" s="47" t="e">
        <f ca="1"/>
        <v>#NAME?</v>
      </c>
      <c r="AT150" s="47" t="e">
        <f ca="1"/>
        <v>#NAME?</v>
      </c>
      <c r="AU150" s="47" t="e">
        <f ca="1"/>
        <v>#NAME?</v>
      </c>
      <c r="AV150" s="47" t="e">
        <f ca="1"/>
        <v>#NAME?</v>
      </c>
      <c r="AW150" s="47" t="e">
        <f ca="1"/>
        <v>#NAME?</v>
      </c>
      <c r="AX150" s="47" t="e">
        <f ca="1"/>
        <v>#NAME?</v>
      </c>
      <c r="AY150" s="47" t="e">
        <f ca="1"/>
        <v>#NAME?</v>
      </c>
    </row>
    <row r="151" spans="35:51" x14ac:dyDescent="0.55000000000000004">
      <c r="AJ151" s="23" t="e">
        <f ca="1"/>
        <v>#NAME?</v>
      </c>
      <c r="AK151" s="23" t="e">
        <f ca="1"/>
        <v>#NAME?</v>
      </c>
      <c r="AL151" s="23" t="e">
        <f ca="1"/>
        <v>#NAME?</v>
      </c>
      <c r="AM151" s="23" t="e">
        <f ca="1"/>
        <v>#NAME?</v>
      </c>
      <c r="AN151" s="23" t="e">
        <f ca="1"/>
        <v>#NAME?</v>
      </c>
      <c r="AO151" s="23" t="e">
        <f ca="1"/>
        <v>#NAME?</v>
      </c>
      <c r="AP151" s="23" t="e">
        <f ca="1"/>
        <v>#NAME?</v>
      </c>
      <c r="AS151" s="46" t="e">
        <f ca="1"/>
        <v>#NAME?</v>
      </c>
      <c r="AT151" s="46" t="e">
        <f ca="1"/>
        <v>#NAME?</v>
      </c>
      <c r="AU151" s="46" t="e">
        <f ca="1"/>
        <v>#NAME?</v>
      </c>
      <c r="AV151" s="46" t="e">
        <f ca="1"/>
        <v>#NAME?</v>
      </c>
      <c r="AW151" s="46" t="e">
        <f ca="1"/>
        <v>#NAME?</v>
      </c>
      <c r="AX151" s="46" t="e">
        <f ca="1"/>
        <v>#NAME?</v>
      </c>
      <c r="AY151" s="46" t="e">
        <f ca="1"/>
        <v>#NAME?</v>
      </c>
    </row>
    <row r="152" spans="35:51" x14ac:dyDescent="0.55000000000000004">
      <c r="AJ152" s="23" t="e">
        <f ca="1"/>
        <v>#NAME?</v>
      </c>
      <c r="AK152" s="23" t="e">
        <f ca="1"/>
        <v>#NAME?</v>
      </c>
      <c r="AL152" s="23" t="e">
        <f ca="1"/>
        <v>#NAME?</v>
      </c>
      <c r="AM152" s="23" t="e">
        <f ca="1"/>
        <v>#NAME?</v>
      </c>
      <c r="AN152" s="23" t="e">
        <f ca="1"/>
        <v>#NAME?</v>
      </c>
      <c r="AO152" s="23" t="e">
        <f ca="1"/>
        <v>#NAME?</v>
      </c>
      <c r="AP152" s="23" t="e">
        <f ca="1"/>
        <v>#NAME?</v>
      </c>
      <c r="AS152" s="47" t="e">
        <f ca="1"/>
        <v>#NAME?</v>
      </c>
      <c r="AT152" s="47" t="e">
        <f ca="1"/>
        <v>#NAME?</v>
      </c>
      <c r="AU152" s="47" t="e">
        <f ca="1"/>
        <v>#NAME?</v>
      </c>
      <c r="AV152" s="47" t="e">
        <f ca="1"/>
        <v>#NAME?</v>
      </c>
      <c r="AW152" s="47" t="e">
        <f ca="1"/>
        <v>#NAME?</v>
      </c>
      <c r="AX152" s="47" t="e">
        <f ca="1"/>
        <v>#NAME?</v>
      </c>
      <c r="AY152" s="47" t="e">
        <f ca="1"/>
        <v>#NAME?</v>
      </c>
    </row>
    <row r="153" spans="35:51" x14ac:dyDescent="0.55000000000000004">
      <c r="AJ153" s="23" t="e">
        <f ca="1"/>
        <v>#NAME?</v>
      </c>
      <c r="AK153" s="23" t="e">
        <f ca="1"/>
        <v>#NAME?</v>
      </c>
      <c r="AL153" s="23" t="e">
        <f ca="1"/>
        <v>#NAME?</v>
      </c>
      <c r="AM153" s="23" t="e">
        <f ca="1"/>
        <v>#NAME?</v>
      </c>
      <c r="AN153" s="23" t="e">
        <f ca="1"/>
        <v>#NAME?</v>
      </c>
      <c r="AO153" s="23" t="e">
        <f ca="1"/>
        <v>#NAME?</v>
      </c>
      <c r="AP153" s="23" t="e">
        <f ca="1"/>
        <v>#NAME?</v>
      </c>
    </row>
    <row r="154" spans="35:51" x14ac:dyDescent="0.55000000000000004">
      <c r="AJ154" s="23" t="e">
        <f ca="1"/>
        <v>#NAME?</v>
      </c>
      <c r="AK154" s="23" t="e">
        <f ca="1"/>
        <v>#NAME?</v>
      </c>
      <c r="AL154" s="23" t="e">
        <f ca="1"/>
        <v>#NAME?</v>
      </c>
      <c r="AM154" s="23" t="e">
        <f ca="1"/>
        <v>#NAME?</v>
      </c>
      <c r="AN154" s="23" t="e">
        <f ca="1"/>
        <v>#NAME?</v>
      </c>
      <c r="AO154" s="23" t="e">
        <f ca="1"/>
        <v>#NAME?</v>
      </c>
      <c r="AP154" s="23" t="e">
        <f ca="1"/>
        <v>#NAME?</v>
      </c>
    </row>
    <row r="157" spans="35:51" x14ac:dyDescent="0.55000000000000004">
      <c r="AI157" s="45">
        <f>AI141+1</f>
        <v>10</v>
      </c>
      <c r="AJ157" s="46" t="e" cm="1">
        <f t="array" aca="1" ref="AJ157:AP162" ca="1">_xlfn.LET(_xlpm.dt, _xlfn._xlws.FILTER(monthly.calendar, month.nums=AI157), IF(MONTH(_xlpm.dt)&lt;&gt;AI157,"",_xlpm.dt))</f>
        <v>#NAME?</v>
      </c>
      <c r="AK157" s="46" t="e">
        <f ca="1"/>
        <v>#NAME?</v>
      </c>
      <c r="AL157" s="46" t="e">
        <f ca="1"/>
        <v>#NAME?</v>
      </c>
      <c r="AM157" s="46" t="e">
        <f ca="1"/>
        <v>#NAME?</v>
      </c>
      <c r="AN157" s="46" t="e">
        <f ca="1"/>
        <v>#NAME?</v>
      </c>
      <c r="AO157" s="46" t="e">
        <f ca="1"/>
        <v>#NAME?</v>
      </c>
      <c r="AP157" s="46" t="e">
        <f ca="1"/>
        <v>#NAME?</v>
      </c>
      <c r="AS157" s="46" t="e" cm="1">
        <f t="array" aca="1" ref="AS157:AY168" ca="1">_xlfn.WRAPROWS(_xlfn.TOCOL(_xlfn.HSTACK(_xlfn.ANCHORARRAY(AJ157),_xlfn.ANCHORARRAY(AJ165))),7)</f>
        <v>#NAME?</v>
      </c>
      <c r="AT157" s="46" t="e">
        <f ca="1"/>
        <v>#NAME?</v>
      </c>
      <c r="AU157" s="46" t="e">
        <f ca="1"/>
        <v>#NAME?</v>
      </c>
      <c r="AV157" s="46" t="e">
        <f ca="1"/>
        <v>#NAME?</v>
      </c>
      <c r="AW157" s="46" t="e">
        <f ca="1"/>
        <v>#NAME?</v>
      </c>
      <c r="AX157" s="46" t="e">
        <f ca="1"/>
        <v>#NAME?</v>
      </c>
      <c r="AY157" s="46" t="e">
        <f ca="1"/>
        <v>#NAME?</v>
      </c>
    </row>
    <row r="158" spans="35:51" x14ac:dyDescent="0.55000000000000004">
      <c r="AJ158" s="46" t="e">
        <f ca="1"/>
        <v>#NAME?</v>
      </c>
      <c r="AK158" s="46" t="e">
        <f ca="1"/>
        <v>#NAME?</v>
      </c>
      <c r="AL158" s="46" t="e">
        <f ca="1"/>
        <v>#NAME?</v>
      </c>
      <c r="AM158" s="46" t="e">
        <f ca="1"/>
        <v>#NAME?</v>
      </c>
      <c r="AN158" s="46" t="e">
        <f ca="1"/>
        <v>#NAME?</v>
      </c>
      <c r="AO158" s="46" t="e">
        <f ca="1"/>
        <v>#NAME?</v>
      </c>
      <c r="AP158" s="46" t="e">
        <f ca="1"/>
        <v>#NAME?</v>
      </c>
      <c r="AS158" s="47" t="e">
        <f ca="1"/>
        <v>#NAME?</v>
      </c>
      <c r="AT158" s="47" t="e">
        <f ca="1"/>
        <v>#NAME?</v>
      </c>
      <c r="AU158" s="47" t="e">
        <f ca="1"/>
        <v>#NAME?</v>
      </c>
      <c r="AV158" s="47" t="e">
        <f ca="1"/>
        <v>#NAME?</v>
      </c>
      <c r="AW158" s="47" t="e">
        <f ca="1"/>
        <v>#NAME?</v>
      </c>
      <c r="AX158" s="47" t="e">
        <f ca="1"/>
        <v>#NAME?</v>
      </c>
      <c r="AY158" s="47" t="e">
        <f ca="1"/>
        <v>#NAME?</v>
      </c>
    </row>
    <row r="159" spans="35:51" x14ac:dyDescent="0.55000000000000004">
      <c r="AJ159" s="46" t="e">
        <f ca="1"/>
        <v>#NAME?</v>
      </c>
      <c r="AK159" s="46" t="e">
        <f ca="1"/>
        <v>#NAME?</v>
      </c>
      <c r="AL159" s="46" t="e">
        <f ca="1"/>
        <v>#NAME?</v>
      </c>
      <c r="AM159" s="46" t="e">
        <f ca="1"/>
        <v>#NAME?</v>
      </c>
      <c r="AN159" s="46" t="e">
        <f ca="1"/>
        <v>#NAME?</v>
      </c>
      <c r="AO159" s="46" t="e">
        <f ca="1"/>
        <v>#NAME?</v>
      </c>
      <c r="AP159" s="46" t="e">
        <f ca="1"/>
        <v>#NAME?</v>
      </c>
      <c r="AS159" s="46" t="e">
        <f ca="1"/>
        <v>#NAME?</v>
      </c>
      <c r="AT159" s="46" t="e">
        <f ca="1"/>
        <v>#NAME?</v>
      </c>
      <c r="AU159" s="46" t="e">
        <f ca="1"/>
        <v>#NAME?</v>
      </c>
      <c r="AV159" s="46" t="e">
        <f ca="1"/>
        <v>#NAME?</v>
      </c>
      <c r="AW159" s="46" t="e">
        <f ca="1"/>
        <v>#NAME?</v>
      </c>
      <c r="AX159" s="46" t="e">
        <f ca="1"/>
        <v>#NAME?</v>
      </c>
      <c r="AY159" s="46" t="e">
        <f ca="1"/>
        <v>#NAME?</v>
      </c>
    </row>
    <row r="160" spans="35:51" x14ac:dyDescent="0.55000000000000004">
      <c r="AJ160" s="46" t="e">
        <f ca="1"/>
        <v>#NAME?</v>
      </c>
      <c r="AK160" s="46" t="e">
        <f ca="1"/>
        <v>#NAME?</v>
      </c>
      <c r="AL160" s="46" t="e">
        <f ca="1"/>
        <v>#NAME?</v>
      </c>
      <c r="AM160" s="46" t="e">
        <f ca="1"/>
        <v>#NAME?</v>
      </c>
      <c r="AN160" s="46" t="e">
        <f ca="1"/>
        <v>#NAME?</v>
      </c>
      <c r="AO160" s="46" t="e">
        <f ca="1"/>
        <v>#NAME?</v>
      </c>
      <c r="AP160" s="46" t="e">
        <f ca="1"/>
        <v>#NAME?</v>
      </c>
      <c r="AS160" s="47" t="e">
        <f ca="1"/>
        <v>#NAME?</v>
      </c>
      <c r="AT160" s="47" t="e">
        <f ca="1"/>
        <v>#NAME?</v>
      </c>
      <c r="AU160" s="47" t="e">
        <f ca="1"/>
        <v>#NAME?</v>
      </c>
      <c r="AV160" s="47" t="e">
        <f ca="1"/>
        <v>#NAME?</v>
      </c>
      <c r="AW160" s="47" t="e">
        <f ca="1"/>
        <v>#NAME?</v>
      </c>
      <c r="AX160" s="47" t="e">
        <f ca="1"/>
        <v>#NAME?</v>
      </c>
      <c r="AY160" s="47" t="e">
        <f ca="1"/>
        <v>#NAME?</v>
      </c>
    </row>
    <row r="161" spans="35:51" x14ac:dyDescent="0.55000000000000004">
      <c r="AJ161" s="46" t="e">
        <f ca="1"/>
        <v>#NAME?</v>
      </c>
      <c r="AK161" s="46" t="e">
        <f ca="1"/>
        <v>#NAME?</v>
      </c>
      <c r="AL161" s="46" t="e">
        <f ca="1"/>
        <v>#NAME?</v>
      </c>
      <c r="AM161" s="46" t="e">
        <f ca="1"/>
        <v>#NAME?</v>
      </c>
      <c r="AN161" s="46" t="e">
        <f ca="1"/>
        <v>#NAME?</v>
      </c>
      <c r="AO161" s="46" t="e">
        <f ca="1"/>
        <v>#NAME?</v>
      </c>
      <c r="AP161" s="46" t="e">
        <f ca="1"/>
        <v>#NAME?</v>
      </c>
      <c r="AS161" s="46" t="e">
        <f ca="1"/>
        <v>#NAME?</v>
      </c>
      <c r="AT161" s="46" t="e">
        <f ca="1"/>
        <v>#NAME?</v>
      </c>
      <c r="AU161" s="46" t="e">
        <f ca="1"/>
        <v>#NAME?</v>
      </c>
      <c r="AV161" s="46" t="e">
        <f ca="1"/>
        <v>#NAME?</v>
      </c>
      <c r="AW161" s="46" t="e">
        <f ca="1"/>
        <v>#NAME?</v>
      </c>
      <c r="AX161" s="46" t="e">
        <f ca="1"/>
        <v>#NAME?</v>
      </c>
      <c r="AY161" s="46" t="e">
        <f ca="1"/>
        <v>#NAME?</v>
      </c>
    </row>
    <row r="162" spans="35:51" x14ac:dyDescent="0.55000000000000004">
      <c r="AJ162" s="46" t="e">
        <f ca="1"/>
        <v>#NAME?</v>
      </c>
      <c r="AK162" s="46" t="e">
        <f ca="1"/>
        <v>#NAME?</v>
      </c>
      <c r="AL162" s="46" t="e">
        <f ca="1"/>
        <v>#NAME?</v>
      </c>
      <c r="AM162" s="46" t="e">
        <f ca="1"/>
        <v>#NAME?</v>
      </c>
      <c r="AN162" s="46" t="e">
        <f ca="1"/>
        <v>#NAME?</v>
      </c>
      <c r="AO162" s="46" t="e">
        <f ca="1"/>
        <v>#NAME?</v>
      </c>
      <c r="AP162" s="46" t="e">
        <f ca="1"/>
        <v>#NAME?</v>
      </c>
      <c r="AS162" s="47" t="e">
        <f ca="1"/>
        <v>#NAME?</v>
      </c>
      <c r="AT162" s="47" t="e">
        <f ca="1"/>
        <v>#NAME?</v>
      </c>
      <c r="AU162" s="47" t="e">
        <f ca="1"/>
        <v>#NAME?</v>
      </c>
      <c r="AV162" s="47" t="e">
        <f ca="1"/>
        <v>#NAME?</v>
      </c>
      <c r="AW162" s="47" t="e">
        <f ca="1"/>
        <v>#NAME?</v>
      </c>
      <c r="AX162" s="47" t="e">
        <f ca="1"/>
        <v>#NAME?</v>
      </c>
      <c r="AY162" s="47" t="e">
        <f ca="1"/>
        <v>#NAME?</v>
      </c>
    </row>
    <row r="163" spans="35:51" x14ac:dyDescent="0.55000000000000004">
      <c r="AS163" s="46" t="e">
        <f ca="1"/>
        <v>#NAME?</v>
      </c>
      <c r="AT163" s="46" t="e">
        <f ca="1"/>
        <v>#NAME?</v>
      </c>
      <c r="AU163" s="46" t="e">
        <f ca="1"/>
        <v>#NAME?</v>
      </c>
      <c r="AV163" s="46" t="e">
        <f ca="1"/>
        <v>#NAME?</v>
      </c>
      <c r="AW163" s="46" t="e">
        <f ca="1"/>
        <v>#NAME?</v>
      </c>
      <c r="AX163" s="46" t="e">
        <f ca="1"/>
        <v>#NAME?</v>
      </c>
      <c r="AY163" s="46" t="e">
        <f ca="1"/>
        <v>#NAME?</v>
      </c>
    </row>
    <row r="164" spans="35:51" x14ac:dyDescent="0.55000000000000004">
      <c r="AS164" s="47" t="e">
        <f ca="1"/>
        <v>#NAME?</v>
      </c>
      <c r="AT164" s="47" t="e">
        <f ca="1"/>
        <v>#NAME?</v>
      </c>
      <c r="AU164" s="47" t="e">
        <f ca="1"/>
        <v>#NAME?</v>
      </c>
      <c r="AV164" s="47" t="e">
        <f ca="1"/>
        <v>#NAME?</v>
      </c>
      <c r="AW164" s="47" t="e">
        <f ca="1"/>
        <v>#NAME?</v>
      </c>
      <c r="AX164" s="47" t="e">
        <f ca="1"/>
        <v>#NAME?</v>
      </c>
      <c r="AY164" s="47" t="e">
        <f ca="1"/>
        <v>#NAME?</v>
      </c>
    </row>
    <row r="165" spans="35:51" x14ac:dyDescent="0.55000000000000004">
      <c r="AJ165" s="23" t="e" cm="1">
        <f t="array" aca="1" ref="AJ165:AP170" ca="1">_xlfn.MAP(_xlfn.ANCHORARRAY(AJ157),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65" s="23" t="e">
        <f ca="1"/>
        <v>#NAME?</v>
      </c>
      <c r="AL165" s="23" t="e">
        <f ca="1"/>
        <v>#NAME?</v>
      </c>
      <c r="AM165" s="23" t="e">
        <f ca="1"/>
        <v>#NAME?</v>
      </c>
      <c r="AN165" s="23" t="e">
        <f ca="1"/>
        <v>#NAME?</v>
      </c>
      <c r="AO165" s="23" t="e">
        <f ca="1"/>
        <v>#NAME?</v>
      </c>
      <c r="AP165" s="23" t="e">
        <f ca="1"/>
        <v>#NAME?</v>
      </c>
      <c r="AS165" s="46" t="e">
        <f ca="1"/>
        <v>#NAME?</v>
      </c>
      <c r="AT165" s="46" t="e">
        <f ca="1"/>
        <v>#NAME?</v>
      </c>
      <c r="AU165" s="46" t="e">
        <f ca="1"/>
        <v>#NAME?</v>
      </c>
      <c r="AV165" s="46" t="e">
        <f ca="1"/>
        <v>#NAME?</v>
      </c>
      <c r="AW165" s="46" t="e">
        <f ca="1"/>
        <v>#NAME?</v>
      </c>
      <c r="AX165" s="46" t="e">
        <f ca="1"/>
        <v>#NAME?</v>
      </c>
      <c r="AY165" s="46" t="e">
        <f ca="1"/>
        <v>#NAME?</v>
      </c>
    </row>
    <row r="166" spans="35:51" x14ac:dyDescent="0.55000000000000004">
      <c r="AJ166" s="23" t="e">
        <f ca="1"/>
        <v>#NAME?</v>
      </c>
      <c r="AK166" s="23" t="e">
        <f ca="1"/>
        <v>#NAME?</v>
      </c>
      <c r="AL166" s="23" t="e">
        <f ca="1"/>
        <v>#NAME?</v>
      </c>
      <c r="AM166" s="23" t="e">
        <f ca="1"/>
        <v>#NAME?</v>
      </c>
      <c r="AN166" s="23" t="e">
        <f ca="1"/>
        <v>#NAME?</v>
      </c>
      <c r="AO166" s="23" t="e">
        <f ca="1"/>
        <v>#NAME?</v>
      </c>
      <c r="AP166" s="23" t="e">
        <f ca="1"/>
        <v>#NAME?</v>
      </c>
      <c r="AS166" s="47" t="e">
        <f ca="1"/>
        <v>#NAME?</v>
      </c>
      <c r="AT166" s="47" t="e">
        <f ca="1"/>
        <v>#NAME?</v>
      </c>
      <c r="AU166" s="47" t="e">
        <f ca="1"/>
        <v>#NAME?</v>
      </c>
      <c r="AV166" s="47" t="e">
        <f ca="1"/>
        <v>#NAME?</v>
      </c>
      <c r="AW166" s="47" t="e">
        <f ca="1"/>
        <v>#NAME?</v>
      </c>
      <c r="AX166" s="47" t="e">
        <f ca="1"/>
        <v>#NAME?</v>
      </c>
      <c r="AY166" s="47" t="e">
        <f ca="1"/>
        <v>#NAME?</v>
      </c>
    </row>
    <row r="167" spans="35:51" x14ac:dyDescent="0.55000000000000004">
      <c r="AJ167" s="23" t="e">
        <f ca="1"/>
        <v>#NAME?</v>
      </c>
      <c r="AK167" s="23" t="e">
        <f ca="1"/>
        <v>#NAME?</v>
      </c>
      <c r="AL167" s="23" t="e">
        <f ca="1"/>
        <v>#NAME?</v>
      </c>
      <c r="AM167" s="23" t="e">
        <f ca="1"/>
        <v>#NAME?</v>
      </c>
      <c r="AN167" s="23" t="e">
        <f ca="1"/>
        <v>#NAME?</v>
      </c>
      <c r="AO167" s="23" t="e">
        <f ca="1"/>
        <v>#NAME?</v>
      </c>
      <c r="AP167" s="23" t="e">
        <f ca="1"/>
        <v>#NAME?</v>
      </c>
      <c r="AS167" s="46" t="e">
        <f ca="1"/>
        <v>#NAME?</v>
      </c>
      <c r="AT167" s="46" t="e">
        <f ca="1"/>
        <v>#NAME?</v>
      </c>
      <c r="AU167" s="46" t="e">
        <f ca="1"/>
        <v>#NAME?</v>
      </c>
      <c r="AV167" s="46" t="e">
        <f ca="1"/>
        <v>#NAME?</v>
      </c>
      <c r="AW167" s="46" t="e">
        <f ca="1"/>
        <v>#NAME?</v>
      </c>
      <c r="AX167" s="46" t="e">
        <f ca="1"/>
        <v>#NAME?</v>
      </c>
      <c r="AY167" s="46" t="e">
        <f ca="1"/>
        <v>#NAME?</v>
      </c>
    </row>
    <row r="168" spans="35:51" x14ac:dyDescent="0.55000000000000004">
      <c r="AJ168" s="23" t="e">
        <f ca="1"/>
        <v>#NAME?</v>
      </c>
      <c r="AK168" s="23" t="e">
        <f ca="1"/>
        <v>#NAME?</v>
      </c>
      <c r="AL168" s="23" t="e">
        <f ca="1"/>
        <v>#NAME?</v>
      </c>
      <c r="AM168" s="23" t="e">
        <f ca="1"/>
        <v>#NAME?</v>
      </c>
      <c r="AN168" s="23" t="e">
        <f ca="1"/>
        <v>#NAME?</v>
      </c>
      <c r="AO168" s="23" t="e">
        <f ca="1"/>
        <v>#NAME?</v>
      </c>
      <c r="AP168" s="23" t="e">
        <f ca="1"/>
        <v>#NAME?</v>
      </c>
      <c r="AS168" s="47" t="e">
        <f ca="1"/>
        <v>#NAME?</v>
      </c>
      <c r="AT168" s="47" t="e">
        <f ca="1"/>
        <v>#NAME?</v>
      </c>
      <c r="AU168" s="47" t="e">
        <f ca="1"/>
        <v>#NAME?</v>
      </c>
      <c r="AV168" s="47" t="e">
        <f ca="1"/>
        <v>#NAME?</v>
      </c>
      <c r="AW168" s="47" t="e">
        <f ca="1"/>
        <v>#NAME?</v>
      </c>
      <c r="AX168" s="47" t="e">
        <f ca="1"/>
        <v>#NAME?</v>
      </c>
      <c r="AY168" s="47" t="e">
        <f ca="1"/>
        <v>#NAME?</v>
      </c>
    </row>
    <row r="169" spans="35:51" x14ac:dyDescent="0.55000000000000004">
      <c r="AJ169" s="23" t="e">
        <f ca="1"/>
        <v>#NAME?</v>
      </c>
      <c r="AK169" s="23" t="e">
        <f ca="1"/>
        <v>#NAME?</v>
      </c>
      <c r="AL169" s="23" t="e">
        <f ca="1"/>
        <v>#NAME?</v>
      </c>
      <c r="AM169" s="23" t="e">
        <f ca="1"/>
        <v>#NAME?</v>
      </c>
      <c r="AN169" s="23" t="e">
        <f ca="1"/>
        <v>#NAME?</v>
      </c>
      <c r="AO169" s="23" t="e">
        <f ca="1"/>
        <v>#NAME?</v>
      </c>
      <c r="AP169" s="23" t="e">
        <f ca="1"/>
        <v>#NAME?</v>
      </c>
    </row>
    <row r="170" spans="35:51" x14ac:dyDescent="0.55000000000000004">
      <c r="AJ170" s="23" t="e">
        <f ca="1"/>
        <v>#NAME?</v>
      </c>
      <c r="AK170" s="23" t="e">
        <f ca="1"/>
        <v>#NAME?</v>
      </c>
      <c r="AL170" s="23" t="e">
        <f ca="1"/>
        <v>#NAME?</v>
      </c>
      <c r="AM170" s="23" t="e">
        <f ca="1"/>
        <v>#NAME?</v>
      </c>
      <c r="AN170" s="23" t="e">
        <f ca="1"/>
        <v>#NAME?</v>
      </c>
      <c r="AO170" s="23" t="e">
        <f ca="1"/>
        <v>#NAME?</v>
      </c>
      <c r="AP170" s="23" t="e">
        <f ca="1"/>
        <v>#NAME?</v>
      </c>
    </row>
    <row r="173" spans="35:51" x14ac:dyDescent="0.55000000000000004">
      <c r="AI173" s="45">
        <f>AI157+1</f>
        <v>11</v>
      </c>
      <c r="AJ173" s="46" t="e" cm="1">
        <f t="array" aca="1" ref="AJ173:AP178" ca="1">_xlfn.LET(_xlpm.dt, _xlfn._xlws.FILTER(monthly.calendar, month.nums=AI173), IF(MONTH(_xlpm.dt)&lt;&gt;AI173,"",_xlpm.dt))</f>
        <v>#NAME?</v>
      </c>
      <c r="AK173" s="46" t="e">
        <f ca="1"/>
        <v>#NAME?</v>
      </c>
      <c r="AL173" s="46" t="e">
        <f ca="1"/>
        <v>#NAME?</v>
      </c>
      <c r="AM173" s="46" t="e">
        <f ca="1"/>
        <v>#NAME?</v>
      </c>
      <c r="AN173" s="46" t="e">
        <f ca="1"/>
        <v>#NAME?</v>
      </c>
      <c r="AO173" s="46" t="e">
        <f ca="1"/>
        <v>#NAME?</v>
      </c>
      <c r="AP173" s="46" t="e">
        <f ca="1"/>
        <v>#NAME?</v>
      </c>
      <c r="AS173" s="46" t="e" cm="1">
        <f t="array" aca="1" ref="AS173:AY184" ca="1">_xlfn.WRAPROWS(_xlfn.TOCOL(_xlfn.HSTACK(_xlfn.ANCHORARRAY(AJ173),_xlfn.ANCHORARRAY(AJ181))),7)</f>
        <v>#NAME?</v>
      </c>
      <c r="AT173" s="46" t="e">
        <f ca="1"/>
        <v>#NAME?</v>
      </c>
      <c r="AU173" s="46" t="e">
        <f ca="1"/>
        <v>#NAME?</v>
      </c>
      <c r="AV173" s="46" t="e">
        <f ca="1"/>
        <v>#NAME?</v>
      </c>
      <c r="AW173" s="46" t="e">
        <f ca="1"/>
        <v>#NAME?</v>
      </c>
      <c r="AX173" s="46" t="e">
        <f ca="1"/>
        <v>#NAME?</v>
      </c>
      <c r="AY173" s="46" t="e">
        <f ca="1"/>
        <v>#NAME?</v>
      </c>
    </row>
    <row r="174" spans="35:51" x14ac:dyDescent="0.55000000000000004">
      <c r="AJ174" s="46" t="e">
        <f ca="1"/>
        <v>#NAME?</v>
      </c>
      <c r="AK174" s="46" t="e">
        <f ca="1"/>
        <v>#NAME?</v>
      </c>
      <c r="AL174" s="46" t="e">
        <f ca="1"/>
        <v>#NAME?</v>
      </c>
      <c r="AM174" s="46" t="e">
        <f ca="1"/>
        <v>#NAME?</v>
      </c>
      <c r="AN174" s="46" t="e">
        <f ca="1"/>
        <v>#NAME?</v>
      </c>
      <c r="AO174" s="46" t="e">
        <f ca="1"/>
        <v>#NAME?</v>
      </c>
      <c r="AP174" s="46" t="e">
        <f ca="1"/>
        <v>#NAME?</v>
      </c>
      <c r="AS174" s="47" t="e">
        <f ca="1"/>
        <v>#NAME?</v>
      </c>
      <c r="AT174" s="47" t="e">
        <f ca="1"/>
        <v>#NAME?</v>
      </c>
      <c r="AU174" s="47" t="e">
        <f ca="1"/>
        <v>#NAME?</v>
      </c>
      <c r="AV174" s="47" t="e">
        <f ca="1"/>
        <v>#NAME?</v>
      </c>
      <c r="AW174" s="47" t="e">
        <f ca="1"/>
        <v>#NAME?</v>
      </c>
      <c r="AX174" s="47" t="e">
        <f ca="1"/>
        <v>#NAME?</v>
      </c>
      <c r="AY174" s="47" t="e">
        <f ca="1"/>
        <v>#NAME?</v>
      </c>
    </row>
    <row r="175" spans="35:51" x14ac:dyDescent="0.55000000000000004">
      <c r="AJ175" s="46" t="e">
        <f ca="1"/>
        <v>#NAME?</v>
      </c>
      <c r="AK175" s="46" t="e">
        <f ca="1"/>
        <v>#NAME?</v>
      </c>
      <c r="AL175" s="46" t="e">
        <f ca="1"/>
        <v>#NAME?</v>
      </c>
      <c r="AM175" s="46" t="e">
        <f ca="1"/>
        <v>#NAME?</v>
      </c>
      <c r="AN175" s="46" t="e">
        <f ca="1"/>
        <v>#NAME?</v>
      </c>
      <c r="AO175" s="46" t="e">
        <f ca="1"/>
        <v>#NAME?</v>
      </c>
      <c r="AP175" s="46" t="e">
        <f ca="1"/>
        <v>#NAME?</v>
      </c>
      <c r="AS175" s="46" t="e">
        <f ca="1"/>
        <v>#NAME?</v>
      </c>
      <c r="AT175" s="46" t="e">
        <f ca="1"/>
        <v>#NAME?</v>
      </c>
      <c r="AU175" s="46" t="e">
        <f ca="1"/>
        <v>#NAME?</v>
      </c>
      <c r="AV175" s="46" t="e">
        <f ca="1"/>
        <v>#NAME?</v>
      </c>
      <c r="AW175" s="46" t="e">
        <f ca="1"/>
        <v>#NAME?</v>
      </c>
      <c r="AX175" s="46" t="e">
        <f ca="1"/>
        <v>#NAME?</v>
      </c>
      <c r="AY175" s="46" t="e">
        <f ca="1"/>
        <v>#NAME?</v>
      </c>
    </row>
    <row r="176" spans="35:51" x14ac:dyDescent="0.55000000000000004">
      <c r="AJ176" s="46" t="e">
        <f ca="1"/>
        <v>#NAME?</v>
      </c>
      <c r="AK176" s="46" t="e">
        <f ca="1"/>
        <v>#NAME?</v>
      </c>
      <c r="AL176" s="46" t="e">
        <f ca="1"/>
        <v>#NAME?</v>
      </c>
      <c r="AM176" s="46" t="e">
        <f ca="1"/>
        <v>#NAME?</v>
      </c>
      <c r="AN176" s="46" t="e">
        <f ca="1"/>
        <v>#NAME?</v>
      </c>
      <c r="AO176" s="46" t="e">
        <f ca="1"/>
        <v>#NAME?</v>
      </c>
      <c r="AP176" s="46" t="e">
        <f ca="1"/>
        <v>#NAME?</v>
      </c>
      <c r="AS176" s="47" t="e">
        <f ca="1"/>
        <v>#NAME?</v>
      </c>
      <c r="AT176" s="47" t="e">
        <f ca="1"/>
        <v>#NAME?</v>
      </c>
      <c r="AU176" s="47" t="e">
        <f ca="1"/>
        <v>#NAME?</v>
      </c>
      <c r="AV176" s="47" t="e">
        <f ca="1"/>
        <v>#NAME?</v>
      </c>
      <c r="AW176" s="47" t="e">
        <f ca="1"/>
        <v>#NAME?</v>
      </c>
      <c r="AX176" s="47" t="e">
        <f ca="1"/>
        <v>#NAME?</v>
      </c>
      <c r="AY176" s="47" t="e">
        <f ca="1"/>
        <v>#NAME?</v>
      </c>
    </row>
    <row r="177" spans="35:51" x14ac:dyDescent="0.55000000000000004">
      <c r="AJ177" s="46" t="e">
        <f ca="1"/>
        <v>#NAME?</v>
      </c>
      <c r="AK177" s="46" t="e">
        <f ca="1"/>
        <v>#NAME?</v>
      </c>
      <c r="AL177" s="46" t="e">
        <f ca="1"/>
        <v>#NAME?</v>
      </c>
      <c r="AM177" s="46" t="e">
        <f ca="1"/>
        <v>#NAME?</v>
      </c>
      <c r="AN177" s="46" t="e">
        <f ca="1"/>
        <v>#NAME?</v>
      </c>
      <c r="AO177" s="46" t="e">
        <f ca="1"/>
        <v>#NAME?</v>
      </c>
      <c r="AP177" s="46" t="e">
        <f ca="1"/>
        <v>#NAME?</v>
      </c>
      <c r="AS177" s="46" t="e">
        <f ca="1"/>
        <v>#NAME?</v>
      </c>
      <c r="AT177" s="46" t="e">
        <f ca="1"/>
        <v>#NAME?</v>
      </c>
      <c r="AU177" s="46" t="e">
        <f ca="1"/>
        <v>#NAME?</v>
      </c>
      <c r="AV177" s="46" t="e">
        <f ca="1"/>
        <v>#NAME?</v>
      </c>
      <c r="AW177" s="46" t="e">
        <f ca="1"/>
        <v>#NAME?</v>
      </c>
      <c r="AX177" s="46" t="e">
        <f ca="1"/>
        <v>#NAME?</v>
      </c>
      <c r="AY177" s="46" t="e">
        <f ca="1"/>
        <v>#NAME?</v>
      </c>
    </row>
    <row r="178" spans="35:51" x14ac:dyDescent="0.55000000000000004">
      <c r="AJ178" s="46" t="e">
        <f ca="1"/>
        <v>#NAME?</v>
      </c>
      <c r="AK178" s="46" t="e">
        <f ca="1"/>
        <v>#NAME?</v>
      </c>
      <c r="AL178" s="46" t="e">
        <f ca="1"/>
        <v>#NAME?</v>
      </c>
      <c r="AM178" s="46" t="e">
        <f ca="1"/>
        <v>#NAME?</v>
      </c>
      <c r="AN178" s="46" t="e">
        <f ca="1"/>
        <v>#NAME?</v>
      </c>
      <c r="AO178" s="46" t="e">
        <f ca="1"/>
        <v>#NAME?</v>
      </c>
      <c r="AP178" s="46" t="e">
        <f ca="1"/>
        <v>#NAME?</v>
      </c>
      <c r="AS178" s="47" t="e">
        <f ca="1"/>
        <v>#NAME?</v>
      </c>
      <c r="AT178" s="47" t="e">
        <f ca="1"/>
        <v>#NAME?</v>
      </c>
      <c r="AU178" s="47" t="e">
        <f ca="1"/>
        <v>#NAME?</v>
      </c>
      <c r="AV178" s="47" t="e">
        <f ca="1"/>
        <v>#NAME?</v>
      </c>
      <c r="AW178" s="47" t="e">
        <f ca="1"/>
        <v>#NAME?</v>
      </c>
      <c r="AX178" s="47" t="e">
        <f ca="1"/>
        <v>#NAME?</v>
      </c>
      <c r="AY178" s="47" t="e">
        <f ca="1"/>
        <v>#NAME?</v>
      </c>
    </row>
    <row r="179" spans="35:51" x14ac:dyDescent="0.55000000000000004">
      <c r="AS179" s="46" t="e">
        <f ca="1"/>
        <v>#NAME?</v>
      </c>
      <c r="AT179" s="46" t="e">
        <f ca="1"/>
        <v>#NAME?</v>
      </c>
      <c r="AU179" s="46" t="e">
        <f ca="1"/>
        <v>#NAME?</v>
      </c>
      <c r="AV179" s="46" t="e">
        <f ca="1"/>
        <v>#NAME?</v>
      </c>
      <c r="AW179" s="46" t="e">
        <f ca="1"/>
        <v>#NAME?</v>
      </c>
      <c r="AX179" s="46" t="e">
        <f ca="1"/>
        <v>#NAME?</v>
      </c>
      <c r="AY179" s="46" t="e">
        <f ca="1"/>
        <v>#NAME?</v>
      </c>
    </row>
    <row r="180" spans="35:51" x14ac:dyDescent="0.55000000000000004">
      <c r="AS180" s="47" t="e">
        <f ca="1"/>
        <v>#NAME?</v>
      </c>
      <c r="AT180" s="47" t="e">
        <f ca="1"/>
        <v>#NAME?</v>
      </c>
      <c r="AU180" s="47" t="e">
        <f ca="1"/>
        <v>#NAME?</v>
      </c>
      <c r="AV180" s="47" t="e">
        <f ca="1"/>
        <v>#NAME?</v>
      </c>
      <c r="AW180" s="47" t="e">
        <f ca="1"/>
        <v>#NAME?</v>
      </c>
      <c r="AX180" s="47" t="e">
        <f ca="1"/>
        <v>#NAME?</v>
      </c>
      <c r="AY180" s="47" t="e">
        <f ca="1"/>
        <v>#NAME?</v>
      </c>
    </row>
    <row r="181" spans="35:51" x14ac:dyDescent="0.55000000000000004">
      <c r="AJ181" s="23" t="e" cm="1">
        <f t="array" aca="1" ref="AJ181:AP186" ca="1">_xlfn.MAP(_xlfn.ANCHORARRAY(AJ173),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81" s="23" t="e">
        <f ca="1"/>
        <v>#NAME?</v>
      </c>
      <c r="AL181" s="23" t="e">
        <f ca="1"/>
        <v>#NAME?</v>
      </c>
      <c r="AM181" s="23" t="e">
        <f ca="1"/>
        <v>#NAME?</v>
      </c>
      <c r="AN181" s="23" t="e">
        <f ca="1"/>
        <v>#NAME?</v>
      </c>
      <c r="AO181" s="23" t="e">
        <f ca="1"/>
        <v>#NAME?</v>
      </c>
      <c r="AP181" s="23" t="e">
        <f ca="1"/>
        <v>#NAME?</v>
      </c>
      <c r="AS181" s="46" t="e">
        <f ca="1"/>
        <v>#NAME?</v>
      </c>
      <c r="AT181" s="46" t="e">
        <f ca="1"/>
        <v>#NAME?</v>
      </c>
      <c r="AU181" s="46" t="e">
        <f ca="1"/>
        <v>#NAME?</v>
      </c>
      <c r="AV181" s="46" t="e">
        <f ca="1"/>
        <v>#NAME?</v>
      </c>
      <c r="AW181" s="46" t="e">
        <f ca="1"/>
        <v>#NAME?</v>
      </c>
      <c r="AX181" s="46" t="e">
        <f ca="1"/>
        <v>#NAME?</v>
      </c>
      <c r="AY181" s="46" t="e">
        <f ca="1"/>
        <v>#NAME?</v>
      </c>
    </row>
    <row r="182" spans="35:51" x14ac:dyDescent="0.55000000000000004">
      <c r="AJ182" s="23" t="e">
        <f ca="1"/>
        <v>#NAME?</v>
      </c>
      <c r="AK182" s="23" t="e">
        <f ca="1"/>
        <v>#NAME?</v>
      </c>
      <c r="AL182" s="23" t="e">
        <f ca="1"/>
        <v>#NAME?</v>
      </c>
      <c r="AM182" s="23" t="e">
        <f ca="1"/>
        <v>#NAME?</v>
      </c>
      <c r="AN182" s="23" t="e">
        <f ca="1"/>
        <v>#NAME?</v>
      </c>
      <c r="AO182" s="23" t="e">
        <f ca="1"/>
        <v>#NAME?</v>
      </c>
      <c r="AP182" s="23" t="e">
        <f ca="1"/>
        <v>#NAME?</v>
      </c>
      <c r="AS182" s="47" t="e">
        <f ca="1"/>
        <v>#NAME?</v>
      </c>
      <c r="AT182" s="47" t="e">
        <f ca="1"/>
        <v>#NAME?</v>
      </c>
      <c r="AU182" s="47" t="e">
        <f ca="1"/>
        <v>#NAME?</v>
      </c>
      <c r="AV182" s="47" t="e">
        <f ca="1"/>
        <v>#NAME?</v>
      </c>
      <c r="AW182" s="47" t="e">
        <f ca="1"/>
        <v>#NAME?</v>
      </c>
      <c r="AX182" s="47" t="e">
        <f ca="1"/>
        <v>#NAME?</v>
      </c>
      <c r="AY182" s="47" t="e">
        <f ca="1"/>
        <v>#NAME?</v>
      </c>
    </row>
    <row r="183" spans="35:51" x14ac:dyDescent="0.55000000000000004">
      <c r="AJ183" s="23" t="e">
        <f ca="1"/>
        <v>#NAME?</v>
      </c>
      <c r="AK183" s="23" t="e">
        <f ca="1"/>
        <v>#NAME?</v>
      </c>
      <c r="AL183" s="23" t="e">
        <f ca="1"/>
        <v>#NAME?</v>
      </c>
      <c r="AM183" s="23" t="e">
        <f ca="1"/>
        <v>#NAME?</v>
      </c>
      <c r="AN183" s="23" t="e">
        <f ca="1"/>
        <v>#NAME?</v>
      </c>
      <c r="AO183" s="23" t="e">
        <f ca="1"/>
        <v>#NAME?</v>
      </c>
      <c r="AP183" s="23" t="e">
        <f ca="1"/>
        <v>#NAME?</v>
      </c>
      <c r="AS183" s="46" t="e">
        <f ca="1"/>
        <v>#NAME?</v>
      </c>
      <c r="AT183" s="46" t="e">
        <f ca="1"/>
        <v>#NAME?</v>
      </c>
      <c r="AU183" s="46" t="e">
        <f ca="1"/>
        <v>#NAME?</v>
      </c>
      <c r="AV183" s="46" t="e">
        <f ca="1"/>
        <v>#NAME?</v>
      </c>
      <c r="AW183" s="46" t="e">
        <f ca="1"/>
        <v>#NAME?</v>
      </c>
      <c r="AX183" s="46" t="e">
        <f ca="1"/>
        <v>#NAME?</v>
      </c>
      <c r="AY183" s="46" t="e">
        <f ca="1"/>
        <v>#NAME?</v>
      </c>
    </row>
    <row r="184" spans="35:51" x14ac:dyDescent="0.55000000000000004">
      <c r="AJ184" s="23" t="e">
        <f ca="1"/>
        <v>#NAME?</v>
      </c>
      <c r="AK184" s="23" t="e">
        <f ca="1"/>
        <v>#NAME?</v>
      </c>
      <c r="AL184" s="23" t="e">
        <f ca="1"/>
        <v>#NAME?</v>
      </c>
      <c r="AM184" s="23" t="e">
        <f ca="1"/>
        <v>#NAME?</v>
      </c>
      <c r="AN184" s="23" t="e">
        <f ca="1"/>
        <v>#NAME?</v>
      </c>
      <c r="AO184" s="23" t="e">
        <f ca="1"/>
        <v>#NAME?</v>
      </c>
      <c r="AP184" s="23" t="e">
        <f ca="1"/>
        <v>#NAME?</v>
      </c>
      <c r="AS184" s="47" t="e">
        <f ca="1"/>
        <v>#NAME?</v>
      </c>
      <c r="AT184" s="47" t="e">
        <f ca="1"/>
        <v>#NAME?</v>
      </c>
      <c r="AU184" s="47" t="e">
        <f ca="1"/>
        <v>#NAME?</v>
      </c>
      <c r="AV184" s="47" t="e">
        <f ca="1"/>
        <v>#NAME?</v>
      </c>
      <c r="AW184" s="47" t="e">
        <f ca="1"/>
        <v>#NAME?</v>
      </c>
      <c r="AX184" s="47" t="e">
        <f ca="1"/>
        <v>#NAME?</v>
      </c>
      <c r="AY184" s="47" t="e">
        <f ca="1"/>
        <v>#NAME?</v>
      </c>
    </row>
    <row r="185" spans="35:51" x14ac:dyDescent="0.55000000000000004">
      <c r="AJ185" s="23" t="e">
        <f ca="1"/>
        <v>#NAME?</v>
      </c>
      <c r="AK185" s="23" t="e">
        <f ca="1"/>
        <v>#NAME?</v>
      </c>
      <c r="AL185" s="23" t="e">
        <f ca="1"/>
        <v>#NAME?</v>
      </c>
      <c r="AM185" s="23" t="e">
        <f ca="1"/>
        <v>#NAME?</v>
      </c>
      <c r="AN185" s="23" t="e">
        <f ca="1"/>
        <v>#NAME?</v>
      </c>
      <c r="AO185" s="23" t="e">
        <f ca="1"/>
        <v>#NAME?</v>
      </c>
      <c r="AP185" s="23" t="e">
        <f ca="1"/>
        <v>#NAME?</v>
      </c>
    </row>
    <row r="186" spans="35:51" x14ac:dyDescent="0.55000000000000004">
      <c r="AJ186" s="23" t="e">
        <f ca="1"/>
        <v>#NAME?</v>
      </c>
      <c r="AK186" s="23" t="e">
        <f ca="1"/>
        <v>#NAME?</v>
      </c>
      <c r="AL186" s="23" t="e">
        <f ca="1"/>
        <v>#NAME?</v>
      </c>
      <c r="AM186" s="23" t="e">
        <f ca="1"/>
        <v>#NAME?</v>
      </c>
      <c r="AN186" s="23" t="e">
        <f ca="1"/>
        <v>#NAME?</v>
      </c>
      <c r="AO186" s="23" t="e">
        <f ca="1"/>
        <v>#NAME?</v>
      </c>
      <c r="AP186" s="23" t="e">
        <f ca="1"/>
        <v>#NAME?</v>
      </c>
    </row>
    <row r="189" spans="35:51" x14ac:dyDescent="0.55000000000000004">
      <c r="AI189" s="45">
        <f>AI173+1</f>
        <v>12</v>
      </c>
      <c r="AJ189" s="46" t="e" cm="1">
        <f t="array" aca="1" ref="AJ189:AP194" ca="1">_xlfn.LET(_xlpm.dt, _xlfn._xlws.FILTER(monthly.calendar, month.nums=AI189), IF(MONTH(_xlpm.dt)&lt;&gt;AI189,"",_xlpm.dt))</f>
        <v>#NAME?</v>
      </c>
      <c r="AK189" s="46" t="e">
        <f ca="1"/>
        <v>#NAME?</v>
      </c>
      <c r="AL189" s="46" t="e">
        <f ca="1"/>
        <v>#NAME?</v>
      </c>
      <c r="AM189" s="46" t="e">
        <f ca="1"/>
        <v>#NAME?</v>
      </c>
      <c r="AN189" s="46" t="e">
        <f ca="1"/>
        <v>#NAME?</v>
      </c>
      <c r="AO189" s="46" t="e">
        <f ca="1"/>
        <v>#NAME?</v>
      </c>
      <c r="AP189" s="46" t="e">
        <f ca="1"/>
        <v>#NAME?</v>
      </c>
      <c r="AS189" s="46" t="e" cm="1">
        <f t="array" aca="1" ref="AS189:AY200" ca="1">_xlfn.WRAPROWS(_xlfn.TOCOL(_xlfn.HSTACK(_xlfn.ANCHORARRAY(AJ189),_xlfn.ANCHORARRAY(AJ197))),7)</f>
        <v>#NAME?</v>
      </c>
      <c r="AT189" s="46" t="e">
        <f ca="1"/>
        <v>#NAME?</v>
      </c>
      <c r="AU189" s="46" t="e">
        <f ca="1"/>
        <v>#NAME?</v>
      </c>
      <c r="AV189" s="46" t="e">
        <f ca="1"/>
        <v>#NAME?</v>
      </c>
      <c r="AW189" s="46" t="e">
        <f ca="1"/>
        <v>#NAME?</v>
      </c>
      <c r="AX189" s="46" t="e">
        <f ca="1"/>
        <v>#NAME?</v>
      </c>
      <c r="AY189" s="46" t="e">
        <f ca="1"/>
        <v>#NAME?</v>
      </c>
    </row>
    <row r="190" spans="35:51" x14ac:dyDescent="0.55000000000000004">
      <c r="AJ190" s="46" t="e">
        <f ca="1"/>
        <v>#NAME?</v>
      </c>
      <c r="AK190" s="46" t="e">
        <f ca="1"/>
        <v>#NAME?</v>
      </c>
      <c r="AL190" s="46" t="e">
        <f ca="1"/>
        <v>#NAME?</v>
      </c>
      <c r="AM190" s="46" t="e">
        <f ca="1"/>
        <v>#NAME?</v>
      </c>
      <c r="AN190" s="46" t="e">
        <f ca="1"/>
        <v>#NAME?</v>
      </c>
      <c r="AO190" s="46" t="e">
        <f ca="1"/>
        <v>#NAME?</v>
      </c>
      <c r="AP190" s="46" t="e">
        <f ca="1"/>
        <v>#NAME?</v>
      </c>
      <c r="AS190" s="47" t="e">
        <f ca="1"/>
        <v>#NAME?</v>
      </c>
      <c r="AT190" s="47" t="e">
        <f ca="1"/>
        <v>#NAME?</v>
      </c>
      <c r="AU190" s="47" t="e">
        <f ca="1"/>
        <v>#NAME?</v>
      </c>
      <c r="AV190" s="47" t="e">
        <f ca="1"/>
        <v>#NAME?</v>
      </c>
      <c r="AW190" s="47" t="e">
        <f ca="1"/>
        <v>#NAME?</v>
      </c>
      <c r="AX190" s="47" t="e">
        <f ca="1"/>
        <v>#NAME?</v>
      </c>
      <c r="AY190" s="47" t="e">
        <f ca="1"/>
        <v>#NAME?</v>
      </c>
    </row>
    <row r="191" spans="35:51" x14ac:dyDescent="0.55000000000000004">
      <c r="AJ191" s="46" t="e">
        <f ca="1"/>
        <v>#NAME?</v>
      </c>
      <c r="AK191" s="46" t="e">
        <f ca="1"/>
        <v>#NAME?</v>
      </c>
      <c r="AL191" s="46" t="e">
        <f ca="1"/>
        <v>#NAME?</v>
      </c>
      <c r="AM191" s="46" t="e">
        <f ca="1"/>
        <v>#NAME?</v>
      </c>
      <c r="AN191" s="46" t="e">
        <f ca="1"/>
        <v>#NAME?</v>
      </c>
      <c r="AO191" s="46" t="e">
        <f ca="1"/>
        <v>#NAME?</v>
      </c>
      <c r="AP191" s="46" t="e">
        <f ca="1"/>
        <v>#NAME?</v>
      </c>
      <c r="AS191" s="46" t="e">
        <f ca="1"/>
        <v>#NAME?</v>
      </c>
      <c r="AT191" s="46" t="e">
        <f ca="1"/>
        <v>#NAME?</v>
      </c>
      <c r="AU191" s="46" t="e">
        <f ca="1"/>
        <v>#NAME?</v>
      </c>
      <c r="AV191" s="46" t="e">
        <f ca="1"/>
        <v>#NAME?</v>
      </c>
      <c r="AW191" s="46" t="e">
        <f ca="1"/>
        <v>#NAME?</v>
      </c>
      <c r="AX191" s="46" t="e">
        <f ca="1"/>
        <v>#NAME?</v>
      </c>
      <c r="AY191" s="46" t="e">
        <f ca="1"/>
        <v>#NAME?</v>
      </c>
    </row>
    <row r="192" spans="35:51" x14ac:dyDescent="0.55000000000000004">
      <c r="AJ192" s="46" t="e">
        <f ca="1"/>
        <v>#NAME?</v>
      </c>
      <c r="AK192" s="46" t="e">
        <f ca="1"/>
        <v>#NAME?</v>
      </c>
      <c r="AL192" s="46" t="e">
        <f ca="1"/>
        <v>#NAME?</v>
      </c>
      <c r="AM192" s="46" t="e">
        <f ca="1"/>
        <v>#NAME?</v>
      </c>
      <c r="AN192" s="46" t="e">
        <f ca="1"/>
        <v>#NAME?</v>
      </c>
      <c r="AO192" s="46" t="e">
        <f ca="1"/>
        <v>#NAME?</v>
      </c>
      <c r="AP192" s="46" t="e">
        <f ca="1"/>
        <v>#NAME?</v>
      </c>
      <c r="AS192" s="47" t="e">
        <f ca="1"/>
        <v>#NAME?</v>
      </c>
      <c r="AT192" s="47" t="e">
        <f ca="1"/>
        <v>#NAME?</v>
      </c>
      <c r="AU192" s="47" t="e">
        <f ca="1"/>
        <v>#NAME?</v>
      </c>
      <c r="AV192" s="47" t="e">
        <f ca="1"/>
        <v>#NAME?</v>
      </c>
      <c r="AW192" s="47" t="e">
        <f ca="1"/>
        <v>#NAME?</v>
      </c>
      <c r="AX192" s="47" t="e">
        <f ca="1"/>
        <v>#NAME?</v>
      </c>
      <c r="AY192" s="47" t="e">
        <f ca="1"/>
        <v>#NAME?</v>
      </c>
    </row>
    <row r="193" spans="36:51" x14ac:dyDescent="0.55000000000000004">
      <c r="AJ193" s="46" t="e">
        <f ca="1"/>
        <v>#NAME?</v>
      </c>
      <c r="AK193" s="46" t="e">
        <f ca="1"/>
        <v>#NAME?</v>
      </c>
      <c r="AL193" s="46" t="e">
        <f ca="1"/>
        <v>#NAME?</v>
      </c>
      <c r="AM193" s="46" t="e">
        <f ca="1"/>
        <v>#NAME?</v>
      </c>
      <c r="AN193" s="46" t="e">
        <f ca="1"/>
        <v>#NAME?</v>
      </c>
      <c r="AO193" s="46" t="e">
        <f ca="1"/>
        <v>#NAME?</v>
      </c>
      <c r="AP193" s="46" t="e">
        <f ca="1"/>
        <v>#NAME?</v>
      </c>
      <c r="AS193" s="46" t="e">
        <f ca="1"/>
        <v>#NAME?</v>
      </c>
      <c r="AT193" s="46" t="e">
        <f ca="1"/>
        <v>#NAME?</v>
      </c>
      <c r="AU193" s="46" t="e">
        <f ca="1"/>
        <v>#NAME?</v>
      </c>
      <c r="AV193" s="46" t="e">
        <f ca="1"/>
        <v>#NAME?</v>
      </c>
      <c r="AW193" s="46" t="e">
        <f ca="1"/>
        <v>#NAME?</v>
      </c>
      <c r="AX193" s="46" t="e">
        <f ca="1"/>
        <v>#NAME?</v>
      </c>
      <c r="AY193" s="46" t="e">
        <f ca="1"/>
        <v>#NAME?</v>
      </c>
    </row>
    <row r="194" spans="36:51" x14ac:dyDescent="0.55000000000000004">
      <c r="AJ194" s="46" t="e">
        <f ca="1"/>
        <v>#NAME?</v>
      </c>
      <c r="AK194" s="46" t="e">
        <f ca="1"/>
        <v>#NAME?</v>
      </c>
      <c r="AL194" s="46" t="e">
        <f ca="1"/>
        <v>#NAME?</v>
      </c>
      <c r="AM194" s="46" t="e">
        <f ca="1"/>
        <v>#NAME?</v>
      </c>
      <c r="AN194" s="46" t="e">
        <f ca="1"/>
        <v>#NAME?</v>
      </c>
      <c r="AO194" s="46" t="e">
        <f ca="1"/>
        <v>#NAME?</v>
      </c>
      <c r="AP194" s="46" t="e">
        <f ca="1"/>
        <v>#NAME?</v>
      </c>
      <c r="AS194" s="47" t="e">
        <f ca="1"/>
        <v>#NAME?</v>
      </c>
      <c r="AT194" s="47" t="e">
        <f ca="1"/>
        <v>#NAME?</v>
      </c>
      <c r="AU194" s="47" t="e">
        <f ca="1"/>
        <v>#NAME?</v>
      </c>
      <c r="AV194" s="47" t="e">
        <f ca="1"/>
        <v>#NAME?</v>
      </c>
      <c r="AW194" s="47" t="e">
        <f ca="1"/>
        <v>#NAME?</v>
      </c>
      <c r="AX194" s="47" t="e">
        <f ca="1"/>
        <v>#NAME?</v>
      </c>
      <c r="AY194" s="47" t="e">
        <f ca="1"/>
        <v>#NAME?</v>
      </c>
    </row>
    <row r="195" spans="36:51" x14ac:dyDescent="0.55000000000000004">
      <c r="AS195" s="46" t="e">
        <f ca="1"/>
        <v>#NAME?</v>
      </c>
      <c r="AT195" s="46" t="e">
        <f ca="1"/>
        <v>#NAME?</v>
      </c>
      <c r="AU195" s="46" t="e">
        <f ca="1"/>
        <v>#NAME?</v>
      </c>
      <c r="AV195" s="46" t="e">
        <f ca="1"/>
        <v>#NAME?</v>
      </c>
      <c r="AW195" s="46" t="e">
        <f ca="1"/>
        <v>#NAME?</v>
      </c>
      <c r="AX195" s="46" t="e">
        <f ca="1"/>
        <v>#NAME?</v>
      </c>
      <c r="AY195" s="46" t="e">
        <f ca="1"/>
        <v>#NAME?</v>
      </c>
    </row>
    <row r="196" spans="36:51" x14ac:dyDescent="0.55000000000000004">
      <c r="AS196" s="47" t="e">
        <f ca="1"/>
        <v>#NAME?</v>
      </c>
      <c r="AT196" s="47" t="e">
        <f ca="1"/>
        <v>#NAME?</v>
      </c>
      <c r="AU196" s="47" t="e">
        <f ca="1"/>
        <v>#NAME?</v>
      </c>
      <c r="AV196" s="47" t="e">
        <f ca="1"/>
        <v>#NAME?</v>
      </c>
      <c r="AW196" s="47" t="e">
        <f ca="1"/>
        <v>#NAME?</v>
      </c>
      <c r="AX196" s="47" t="e">
        <f ca="1"/>
        <v>#NAME?</v>
      </c>
      <c r="AY196" s="47" t="e">
        <f ca="1"/>
        <v>#NAME?</v>
      </c>
    </row>
    <row r="197" spans="36:51" x14ac:dyDescent="0.55000000000000004">
      <c r="AJ197" s="23" t="e" cm="1">
        <f t="array" aca="1" ref="AJ197:AP202" ca="1">_xlfn.MAP(_xlfn.ANCHORARRAY(AJ189), _xlfn.LAMBDA(_xlpm.a, IFERROR(_xlfn.LET(_xlpm.events, _xlfn._xlws.FILTER(Plan[Activity],Plan[Date]=_xlpm.a), _xlpm.ic, _xlfn.XLOOKUP(_xlfn._xlws.FILTER(Plan[Type], Plan[Date]=_xlpm.a,"x"), icons[Type], icons[Icon]), _xlfn.TEXTJOIN(CHAR(10),TRUE, _xlpm.ic&amp;_xlpm.events)),"")))</f>
        <v>#NAME?</v>
      </c>
      <c r="AK197" s="23" t="e">
        <f ca="1"/>
        <v>#NAME?</v>
      </c>
      <c r="AL197" s="23" t="e">
        <f ca="1"/>
        <v>#NAME?</v>
      </c>
      <c r="AM197" s="23" t="e">
        <f ca="1"/>
        <v>#NAME?</v>
      </c>
      <c r="AN197" s="23" t="e">
        <f ca="1"/>
        <v>#NAME?</v>
      </c>
      <c r="AO197" s="23" t="e">
        <f ca="1"/>
        <v>#NAME?</v>
      </c>
      <c r="AP197" s="23" t="e">
        <f ca="1"/>
        <v>#NAME?</v>
      </c>
      <c r="AS197" s="46" t="e">
        <f ca="1"/>
        <v>#NAME?</v>
      </c>
      <c r="AT197" s="46" t="e">
        <f ca="1"/>
        <v>#NAME?</v>
      </c>
      <c r="AU197" s="46" t="e">
        <f ca="1"/>
        <v>#NAME?</v>
      </c>
      <c r="AV197" s="46" t="e">
        <f ca="1"/>
        <v>#NAME?</v>
      </c>
      <c r="AW197" s="46" t="e">
        <f ca="1"/>
        <v>#NAME?</v>
      </c>
      <c r="AX197" s="46" t="e">
        <f ca="1"/>
        <v>#NAME?</v>
      </c>
      <c r="AY197" s="46" t="e">
        <f ca="1"/>
        <v>#NAME?</v>
      </c>
    </row>
    <row r="198" spans="36:51" x14ac:dyDescent="0.55000000000000004">
      <c r="AJ198" s="23" t="e">
        <f ca="1"/>
        <v>#NAME?</v>
      </c>
      <c r="AK198" s="23" t="e">
        <f ca="1"/>
        <v>#NAME?</v>
      </c>
      <c r="AL198" s="23" t="e">
        <f ca="1"/>
        <v>#NAME?</v>
      </c>
      <c r="AM198" s="23" t="e">
        <f ca="1"/>
        <v>#NAME?</v>
      </c>
      <c r="AN198" s="23" t="e">
        <f ca="1"/>
        <v>#NAME?</v>
      </c>
      <c r="AO198" s="23" t="e">
        <f ca="1"/>
        <v>#NAME?</v>
      </c>
      <c r="AP198" s="23" t="e">
        <f ca="1"/>
        <v>#NAME?</v>
      </c>
      <c r="AS198" s="47" t="e">
        <f ca="1"/>
        <v>#NAME?</v>
      </c>
      <c r="AT198" s="47" t="e">
        <f ca="1"/>
        <v>#NAME?</v>
      </c>
      <c r="AU198" s="47" t="e">
        <f ca="1"/>
        <v>#NAME?</v>
      </c>
      <c r="AV198" s="47" t="e">
        <f ca="1"/>
        <v>#NAME?</v>
      </c>
      <c r="AW198" s="47" t="e">
        <f ca="1"/>
        <v>#NAME?</v>
      </c>
      <c r="AX198" s="47" t="e">
        <f ca="1"/>
        <v>#NAME?</v>
      </c>
      <c r="AY198" s="47" t="e">
        <f ca="1"/>
        <v>#NAME?</v>
      </c>
    </row>
    <row r="199" spans="36:51" x14ac:dyDescent="0.55000000000000004">
      <c r="AJ199" s="23" t="e">
        <f ca="1"/>
        <v>#NAME?</v>
      </c>
      <c r="AK199" s="23" t="e">
        <f ca="1"/>
        <v>#NAME?</v>
      </c>
      <c r="AL199" s="23" t="e">
        <f ca="1"/>
        <v>#NAME?</v>
      </c>
      <c r="AM199" s="23" t="e">
        <f ca="1"/>
        <v>#NAME?</v>
      </c>
      <c r="AN199" s="23" t="e">
        <f ca="1"/>
        <v>#NAME?</v>
      </c>
      <c r="AO199" s="23" t="e">
        <f ca="1"/>
        <v>#NAME?</v>
      </c>
      <c r="AP199" s="23" t="e">
        <f ca="1"/>
        <v>#NAME?</v>
      </c>
      <c r="AS199" s="46" t="e">
        <f ca="1"/>
        <v>#NAME?</v>
      </c>
      <c r="AT199" s="46" t="e">
        <f ca="1"/>
        <v>#NAME?</v>
      </c>
      <c r="AU199" s="46" t="e">
        <f ca="1"/>
        <v>#NAME?</v>
      </c>
      <c r="AV199" s="46" t="e">
        <f ca="1"/>
        <v>#NAME?</v>
      </c>
      <c r="AW199" s="46" t="e">
        <f ca="1"/>
        <v>#NAME?</v>
      </c>
      <c r="AX199" s="46" t="e">
        <f ca="1"/>
        <v>#NAME?</v>
      </c>
      <c r="AY199" s="46" t="e">
        <f ca="1"/>
        <v>#NAME?</v>
      </c>
    </row>
    <row r="200" spans="36:51" x14ac:dyDescent="0.55000000000000004">
      <c r="AJ200" s="23" t="e">
        <f ca="1"/>
        <v>#NAME?</v>
      </c>
      <c r="AK200" s="23" t="e">
        <f ca="1"/>
        <v>#NAME?</v>
      </c>
      <c r="AL200" s="23" t="e">
        <f ca="1"/>
        <v>#NAME?</v>
      </c>
      <c r="AM200" s="23" t="e">
        <f ca="1"/>
        <v>#NAME?</v>
      </c>
      <c r="AN200" s="23" t="e">
        <f ca="1"/>
        <v>#NAME?</v>
      </c>
      <c r="AO200" s="23" t="e">
        <f ca="1"/>
        <v>#NAME?</v>
      </c>
      <c r="AP200" s="23" t="e">
        <f ca="1"/>
        <v>#NAME?</v>
      </c>
      <c r="AS200" s="47" t="e">
        <f ca="1"/>
        <v>#NAME?</v>
      </c>
      <c r="AT200" s="47" t="e">
        <f ca="1"/>
        <v>#NAME?</v>
      </c>
      <c r="AU200" s="47" t="e">
        <f ca="1"/>
        <v>#NAME?</v>
      </c>
      <c r="AV200" s="47" t="e">
        <f ca="1"/>
        <v>#NAME?</v>
      </c>
      <c r="AW200" s="47" t="e">
        <f ca="1"/>
        <v>#NAME?</v>
      </c>
      <c r="AX200" s="47" t="e">
        <f ca="1"/>
        <v>#NAME?</v>
      </c>
      <c r="AY200" s="47" t="e">
        <f ca="1"/>
        <v>#NAME?</v>
      </c>
    </row>
    <row r="201" spans="36:51" x14ac:dyDescent="0.55000000000000004">
      <c r="AJ201" s="23" t="e">
        <f ca="1"/>
        <v>#NAME?</v>
      </c>
      <c r="AK201" s="23" t="e">
        <f ca="1"/>
        <v>#NAME?</v>
      </c>
      <c r="AL201" s="23" t="e">
        <f ca="1"/>
        <v>#NAME?</v>
      </c>
      <c r="AM201" s="23" t="e">
        <f ca="1"/>
        <v>#NAME?</v>
      </c>
      <c r="AN201" s="23" t="e">
        <f ca="1"/>
        <v>#NAME?</v>
      </c>
      <c r="AO201" s="23" t="e">
        <f ca="1"/>
        <v>#NAME?</v>
      </c>
      <c r="AP201" s="23" t="e">
        <f ca="1"/>
        <v>#NAME?</v>
      </c>
    </row>
    <row r="202" spans="36:51" x14ac:dyDescent="0.55000000000000004">
      <c r="AJ202" s="23" t="e">
        <f ca="1"/>
        <v>#NAME?</v>
      </c>
      <c r="AK202" s="23" t="e">
        <f ca="1"/>
        <v>#NAME?</v>
      </c>
      <c r="AL202" s="23" t="e">
        <f ca="1"/>
        <v>#NAME?</v>
      </c>
      <c r="AM202" s="23" t="e">
        <f ca="1"/>
        <v>#NAME?</v>
      </c>
      <c r="AN202" s="23" t="e">
        <f ca="1"/>
        <v>#NAME?</v>
      </c>
      <c r="AO202" s="23" t="e">
        <f ca="1"/>
        <v>#NAME?</v>
      </c>
      <c r="AP202" s="23" t="e">
        <f ca="1"/>
        <v>#NAME?</v>
      </c>
    </row>
  </sheetData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Calendar</vt:lpstr>
      <vt:lpstr>Any Month</vt:lpstr>
      <vt:lpstr>Printable 12 Month</vt:lpstr>
      <vt:lpstr>Planner</vt:lpstr>
      <vt:lpstr>Customizations</vt:lpstr>
      <vt:lpstr>Calc</vt:lpstr>
      <vt:lpstr>cal.year</vt:lpstr>
      <vt:lpstr>holiday_dates</vt:lpstr>
      <vt:lpstr>icon_types</vt:lpstr>
      <vt:lpstr>month.nums</vt:lpstr>
      <vt:lpstr>monthly.calendar</vt:lpstr>
      <vt:lpstr>planner_dates</vt:lpstr>
      <vt:lpstr>'Any Month'!Print_Area</vt:lpstr>
      <vt:lpstr>Calendar!Print_Area</vt:lpstr>
      <vt:lpstr>'Printable 12 Month'!Print_Area</vt:lpstr>
      <vt:lpstr>show.planner</vt:lpstr>
      <vt:lpstr>week.start</vt:lpstr>
      <vt:lpstr>weekend.type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Carmen Shields</cp:lastModifiedBy>
  <cp:lastPrinted>2024-12-18T05:24:39Z</cp:lastPrinted>
  <dcterms:created xsi:type="dcterms:W3CDTF">2021-03-14T20:21:32Z</dcterms:created>
  <dcterms:modified xsi:type="dcterms:W3CDTF">2026-05-05T19:58:17Z</dcterms:modified>
</cp:coreProperties>
</file>